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84B535-2E69-4323-8918-424473CD1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Branch Summary" sheetId="2" r:id="rId2"/>
    <sheet name="Recruiter Revenue" sheetId="3" r:id="rId3"/>
    <sheet name="Sorted Data" sheetId="4" r:id="rId4"/>
    <sheet name="Data Quality" sheetId="5" r:id="rId5"/>
  </sheets>
  <calcPr calcId="181029"/>
</workbook>
</file>

<file path=xl/calcChain.xml><?xml version="1.0" encoding="utf-8"?>
<calcChain xmlns="http://schemas.openxmlformats.org/spreadsheetml/2006/main">
  <c r="K81" i="3" l="1"/>
  <c r="J81" i="3"/>
  <c r="I81" i="3"/>
  <c r="H81" i="3"/>
  <c r="G81" i="3"/>
  <c r="F81" i="3"/>
  <c r="E81" i="3"/>
  <c r="D81" i="3"/>
  <c r="K20" i="3"/>
  <c r="J6" i="2" s="1"/>
  <c r="J20" i="3"/>
  <c r="I6" i="2" s="1"/>
  <c r="I20" i="3"/>
  <c r="H6" i="2" s="1"/>
  <c r="H20" i="3"/>
  <c r="G6" i="2" s="1"/>
  <c r="G20" i="3"/>
  <c r="F6" i="2" s="1"/>
  <c r="F9" i="1" s="1"/>
  <c r="F20" i="3"/>
  <c r="E20" i="3"/>
  <c r="D20" i="3"/>
  <c r="C6" i="2" s="1"/>
  <c r="K77" i="3"/>
  <c r="J77" i="3"/>
  <c r="I77" i="3"/>
  <c r="H77" i="3"/>
  <c r="G77" i="3"/>
  <c r="F77" i="3"/>
  <c r="E77" i="3"/>
  <c r="D77" i="3"/>
  <c r="K46" i="3"/>
  <c r="J46" i="3"/>
  <c r="I46" i="3"/>
  <c r="H46" i="3"/>
  <c r="G46" i="3"/>
  <c r="F46" i="3"/>
  <c r="E46" i="3"/>
  <c r="D46" i="3"/>
  <c r="K18" i="3"/>
  <c r="J18" i="3"/>
  <c r="I18" i="3"/>
  <c r="H18" i="3"/>
  <c r="G18" i="3"/>
  <c r="F18" i="3"/>
  <c r="E18" i="3"/>
  <c r="D18" i="3"/>
  <c r="K66" i="3"/>
  <c r="J66" i="3"/>
  <c r="I66" i="3"/>
  <c r="H66" i="3"/>
  <c r="G66" i="3"/>
  <c r="F66" i="3"/>
  <c r="E66" i="3"/>
  <c r="D66" i="3"/>
  <c r="K35" i="3"/>
  <c r="J35" i="3"/>
  <c r="I35" i="3"/>
  <c r="H35" i="3"/>
  <c r="G35" i="3"/>
  <c r="F35" i="3"/>
  <c r="E35" i="3"/>
  <c r="D35" i="3"/>
  <c r="K40" i="3"/>
  <c r="J40" i="3"/>
  <c r="I40" i="3"/>
  <c r="H40" i="3"/>
  <c r="G40" i="3"/>
  <c r="F40" i="3"/>
  <c r="E40" i="3"/>
  <c r="D40" i="3"/>
  <c r="K32" i="3"/>
  <c r="J32" i="3"/>
  <c r="I32" i="3"/>
  <c r="H32" i="3"/>
  <c r="G32" i="3"/>
  <c r="F32" i="3"/>
  <c r="E32" i="3"/>
  <c r="D32" i="3"/>
  <c r="K29" i="3"/>
  <c r="J29" i="3"/>
  <c r="I29" i="3"/>
  <c r="H29" i="3"/>
  <c r="G29" i="3"/>
  <c r="F29" i="3"/>
  <c r="E29" i="3"/>
  <c r="D29" i="3"/>
  <c r="K7" i="3"/>
  <c r="J7" i="3"/>
  <c r="I7" i="3"/>
  <c r="H7" i="3"/>
  <c r="G7" i="3"/>
  <c r="F7" i="3"/>
  <c r="E7" i="3"/>
  <c r="D7" i="3"/>
  <c r="K36" i="3"/>
  <c r="J36" i="3"/>
  <c r="I36" i="3"/>
  <c r="H36" i="3"/>
  <c r="G36" i="3"/>
  <c r="F36" i="3"/>
  <c r="E36" i="3"/>
  <c r="D36" i="3"/>
  <c r="K8" i="3"/>
  <c r="J8" i="3"/>
  <c r="I8" i="3"/>
  <c r="H8" i="3"/>
  <c r="G8" i="3"/>
  <c r="F8" i="3"/>
  <c r="E8" i="3"/>
  <c r="D8" i="3"/>
  <c r="K89" i="3"/>
  <c r="J89" i="3"/>
  <c r="I89" i="3"/>
  <c r="H89" i="3"/>
  <c r="G89" i="3"/>
  <c r="F89" i="3"/>
  <c r="E89" i="3"/>
  <c r="D89" i="3"/>
  <c r="K83" i="3"/>
  <c r="J83" i="3"/>
  <c r="I83" i="3"/>
  <c r="H83" i="3"/>
  <c r="G83" i="3"/>
  <c r="F83" i="3"/>
  <c r="E83" i="3"/>
  <c r="N83" i="3" s="1"/>
  <c r="D83" i="3"/>
  <c r="K39" i="3"/>
  <c r="J39" i="3"/>
  <c r="I39" i="3"/>
  <c r="H39" i="3"/>
  <c r="G39" i="3"/>
  <c r="F39" i="3"/>
  <c r="E39" i="3"/>
  <c r="D39" i="3"/>
  <c r="K19" i="3"/>
  <c r="J19" i="3"/>
  <c r="I19" i="3"/>
  <c r="H19" i="3"/>
  <c r="G19" i="3"/>
  <c r="F19" i="3"/>
  <c r="E19" i="3"/>
  <c r="N19" i="3" s="1"/>
  <c r="D19" i="3"/>
  <c r="K62" i="3"/>
  <c r="J62" i="3"/>
  <c r="I62" i="3"/>
  <c r="H62" i="3"/>
  <c r="G62" i="3"/>
  <c r="F62" i="3"/>
  <c r="E62" i="3"/>
  <c r="D62" i="3"/>
  <c r="K53" i="3"/>
  <c r="J53" i="3"/>
  <c r="I53" i="3"/>
  <c r="H53" i="3"/>
  <c r="G53" i="3"/>
  <c r="F53" i="3"/>
  <c r="E53" i="3"/>
  <c r="D53" i="3"/>
  <c r="K4" i="3"/>
  <c r="J4" i="3"/>
  <c r="I4" i="3"/>
  <c r="H4" i="3"/>
  <c r="G4" i="3"/>
  <c r="F4" i="3"/>
  <c r="E4" i="3"/>
  <c r="D4" i="3"/>
  <c r="K34" i="3"/>
  <c r="J34" i="3"/>
  <c r="I34" i="3"/>
  <c r="H34" i="3"/>
  <c r="G34" i="3"/>
  <c r="F34" i="3"/>
  <c r="E34" i="3"/>
  <c r="D34" i="3"/>
  <c r="K87" i="3"/>
  <c r="J87" i="3"/>
  <c r="I87" i="3"/>
  <c r="H87" i="3"/>
  <c r="G87" i="3"/>
  <c r="F87" i="3"/>
  <c r="E87" i="3"/>
  <c r="D87" i="3"/>
  <c r="K21" i="3"/>
  <c r="J21" i="3"/>
  <c r="I21" i="3"/>
  <c r="H21" i="3"/>
  <c r="G21" i="3"/>
  <c r="F21" i="3"/>
  <c r="E21" i="3"/>
  <c r="N21" i="3" s="1"/>
  <c r="D21" i="3"/>
  <c r="K59" i="3"/>
  <c r="J59" i="3"/>
  <c r="I59" i="3"/>
  <c r="H59" i="3"/>
  <c r="G59" i="3"/>
  <c r="F59" i="3"/>
  <c r="E59" i="3"/>
  <c r="D59" i="3"/>
  <c r="K5" i="3"/>
  <c r="J5" i="3"/>
  <c r="I5" i="3"/>
  <c r="H5" i="3"/>
  <c r="G5" i="3"/>
  <c r="F5" i="3"/>
  <c r="E5" i="3"/>
  <c r="N5" i="3" s="1"/>
  <c r="D5" i="3"/>
  <c r="K31" i="3"/>
  <c r="J31" i="3"/>
  <c r="I31" i="3"/>
  <c r="H31" i="3"/>
  <c r="G31" i="3"/>
  <c r="F31" i="3"/>
  <c r="E31" i="3"/>
  <c r="D31" i="3"/>
  <c r="K52" i="3"/>
  <c r="J52" i="3"/>
  <c r="I52" i="3"/>
  <c r="H52" i="3"/>
  <c r="G52" i="3"/>
  <c r="F52" i="3"/>
  <c r="E52" i="3"/>
  <c r="D52" i="3"/>
  <c r="K70" i="3"/>
  <c r="J70" i="3"/>
  <c r="I70" i="3"/>
  <c r="H70" i="3"/>
  <c r="G70" i="3"/>
  <c r="F70" i="3"/>
  <c r="E70" i="3"/>
  <c r="D70" i="3"/>
  <c r="K75" i="3"/>
  <c r="J75" i="3"/>
  <c r="I75" i="3"/>
  <c r="H75" i="3"/>
  <c r="G75" i="3"/>
  <c r="F75" i="3"/>
  <c r="E75" i="3"/>
  <c r="D75" i="3"/>
  <c r="K86" i="3"/>
  <c r="J86" i="3"/>
  <c r="I86" i="3"/>
  <c r="H86" i="3"/>
  <c r="G86" i="3"/>
  <c r="F86" i="3"/>
  <c r="E86" i="3"/>
  <c r="N86" i="3" s="1"/>
  <c r="D86" i="3"/>
  <c r="K65" i="3"/>
  <c r="J65" i="3"/>
  <c r="I65" i="3"/>
  <c r="H65" i="3"/>
  <c r="G65" i="3"/>
  <c r="F65" i="3"/>
  <c r="E65" i="3"/>
  <c r="D65" i="3"/>
  <c r="K68" i="3"/>
  <c r="J68" i="3"/>
  <c r="I68" i="3"/>
  <c r="H68" i="3"/>
  <c r="G68" i="3"/>
  <c r="F68" i="3"/>
  <c r="E68" i="3"/>
  <c r="D68" i="3"/>
  <c r="K82" i="3"/>
  <c r="J82" i="3"/>
  <c r="I82" i="3"/>
  <c r="H82" i="3"/>
  <c r="G82" i="3"/>
  <c r="F82" i="3"/>
  <c r="L82" i="3" s="1"/>
  <c r="M82" i="3" s="1"/>
  <c r="E82" i="3"/>
  <c r="N82" i="3" s="1"/>
  <c r="D82" i="3"/>
  <c r="K22" i="3"/>
  <c r="J22" i="3"/>
  <c r="I22" i="3"/>
  <c r="H22" i="3"/>
  <c r="G22" i="3"/>
  <c r="F22" i="3"/>
  <c r="E22" i="3"/>
  <c r="D22" i="3"/>
  <c r="K84" i="3"/>
  <c r="J84" i="3"/>
  <c r="I84" i="3"/>
  <c r="H84" i="3"/>
  <c r="G84" i="3"/>
  <c r="F84" i="3"/>
  <c r="E84" i="3"/>
  <c r="D84" i="3"/>
  <c r="K43" i="3"/>
  <c r="J43" i="3"/>
  <c r="I43" i="3"/>
  <c r="H43" i="3"/>
  <c r="G43" i="3"/>
  <c r="F43" i="3"/>
  <c r="E43" i="3"/>
  <c r="D43" i="3"/>
  <c r="K54" i="3"/>
  <c r="J54" i="3"/>
  <c r="I54" i="3"/>
  <c r="H54" i="3"/>
  <c r="G54" i="3"/>
  <c r="F54" i="3"/>
  <c r="E54" i="3"/>
  <c r="D54" i="3"/>
  <c r="K24" i="3"/>
  <c r="J24" i="3"/>
  <c r="I24" i="3"/>
  <c r="H24" i="3"/>
  <c r="G24" i="3"/>
  <c r="F24" i="3"/>
  <c r="E24" i="3"/>
  <c r="D24" i="3"/>
  <c r="K27" i="3"/>
  <c r="J27" i="3"/>
  <c r="I27" i="3"/>
  <c r="H27" i="3"/>
  <c r="G27" i="3"/>
  <c r="F27" i="3"/>
  <c r="E27" i="3"/>
  <c r="D27" i="3"/>
  <c r="K80" i="3"/>
  <c r="J80" i="3"/>
  <c r="I80" i="3"/>
  <c r="H80" i="3"/>
  <c r="G80" i="3"/>
  <c r="F80" i="3"/>
  <c r="E80" i="3"/>
  <c r="D80" i="3"/>
  <c r="K30" i="3"/>
  <c r="J30" i="3"/>
  <c r="I30" i="3"/>
  <c r="H30" i="3"/>
  <c r="G30" i="3"/>
  <c r="F30" i="3"/>
  <c r="L30" i="3" s="1"/>
  <c r="M30" i="3" s="1"/>
  <c r="E30" i="3"/>
  <c r="N30" i="3" s="1"/>
  <c r="D30" i="3"/>
  <c r="K16" i="3"/>
  <c r="J16" i="3"/>
  <c r="I16" i="3"/>
  <c r="H16" i="3"/>
  <c r="G16" i="3"/>
  <c r="F16" i="3"/>
  <c r="E16" i="3"/>
  <c r="D16" i="3"/>
  <c r="K41" i="3"/>
  <c r="J41" i="3"/>
  <c r="I41" i="3"/>
  <c r="H41" i="3"/>
  <c r="G41" i="3"/>
  <c r="F41" i="3"/>
  <c r="E41" i="3"/>
  <c r="D41" i="3"/>
  <c r="K72" i="3"/>
  <c r="J72" i="3"/>
  <c r="I72" i="3"/>
  <c r="H72" i="3"/>
  <c r="G72" i="3"/>
  <c r="F72" i="3"/>
  <c r="E72" i="3"/>
  <c r="D72" i="3"/>
  <c r="K15" i="3"/>
  <c r="J15" i="3"/>
  <c r="I15" i="3"/>
  <c r="H15" i="3"/>
  <c r="G15" i="3"/>
  <c r="F15" i="3"/>
  <c r="E15" i="3"/>
  <c r="D15" i="3"/>
  <c r="K64" i="3"/>
  <c r="J64" i="3"/>
  <c r="I64" i="3"/>
  <c r="H64" i="3"/>
  <c r="G64" i="3"/>
  <c r="F64" i="3"/>
  <c r="E64" i="3"/>
  <c r="D64" i="3"/>
  <c r="K61" i="3"/>
  <c r="J61" i="3"/>
  <c r="I61" i="3"/>
  <c r="H61" i="3"/>
  <c r="G61" i="3"/>
  <c r="F61" i="3"/>
  <c r="E61" i="3"/>
  <c r="D61" i="3"/>
  <c r="K17" i="3"/>
  <c r="J17" i="3"/>
  <c r="I17" i="3"/>
  <c r="H17" i="3"/>
  <c r="G17" i="3"/>
  <c r="F17" i="3"/>
  <c r="E17" i="3"/>
  <c r="D17" i="3"/>
  <c r="K38" i="3"/>
  <c r="J38" i="3"/>
  <c r="I38" i="3"/>
  <c r="H38" i="3"/>
  <c r="G38" i="3"/>
  <c r="F38" i="3"/>
  <c r="L38" i="3" s="1"/>
  <c r="M38" i="3" s="1"/>
  <c r="E38" i="3"/>
  <c r="D38" i="3"/>
  <c r="N38" i="3" s="1"/>
  <c r="K63" i="3"/>
  <c r="J63" i="3"/>
  <c r="I63" i="3"/>
  <c r="H63" i="3"/>
  <c r="G63" i="3"/>
  <c r="F63" i="3"/>
  <c r="E63" i="3"/>
  <c r="D63" i="3"/>
  <c r="K6" i="3"/>
  <c r="J6" i="3"/>
  <c r="I6" i="3"/>
  <c r="H6" i="3"/>
  <c r="G6" i="3"/>
  <c r="F6" i="3"/>
  <c r="E6" i="3"/>
  <c r="D6" i="3"/>
  <c r="K28" i="3"/>
  <c r="J28" i="3"/>
  <c r="I28" i="3"/>
  <c r="H28" i="3"/>
  <c r="G28" i="3"/>
  <c r="F28" i="3"/>
  <c r="E28" i="3"/>
  <c r="D28" i="3"/>
  <c r="K11" i="3"/>
  <c r="J11" i="3"/>
  <c r="I11" i="3"/>
  <c r="H11" i="3"/>
  <c r="G11" i="3"/>
  <c r="F11" i="3"/>
  <c r="E11" i="3"/>
  <c r="D11" i="3"/>
  <c r="K14" i="3"/>
  <c r="J14" i="3"/>
  <c r="I14" i="3"/>
  <c r="H14" i="3"/>
  <c r="G14" i="3"/>
  <c r="F14" i="3"/>
  <c r="E14" i="3"/>
  <c r="D14" i="3"/>
  <c r="K26" i="3"/>
  <c r="J26" i="3"/>
  <c r="I26" i="3"/>
  <c r="H26" i="3"/>
  <c r="G26" i="3"/>
  <c r="F26" i="3"/>
  <c r="E26" i="3"/>
  <c r="D26" i="3"/>
  <c r="K45" i="3"/>
  <c r="J45" i="3"/>
  <c r="I45" i="3"/>
  <c r="H45" i="3"/>
  <c r="G45" i="3"/>
  <c r="F45" i="3"/>
  <c r="E45" i="3"/>
  <c r="D45" i="3"/>
  <c r="K25" i="3"/>
  <c r="J25" i="3"/>
  <c r="I25" i="3"/>
  <c r="H25" i="3"/>
  <c r="G25" i="3"/>
  <c r="F25" i="3"/>
  <c r="L25" i="3" s="1"/>
  <c r="M25" i="3" s="1"/>
  <c r="E25" i="3"/>
  <c r="N25" i="3" s="1"/>
  <c r="D25" i="3"/>
  <c r="K49" i="3"/>
  <c r="J49" i="3"/>
  <c r="I49" i="3"/>
  <c r="H49" i="3"/>
  <c r="G49" i="3"/>
  <c r="F49" i="3"/>
  <c r="E49" i="3"/>
  <c r="D49" i="3"/>
  <c r="K2" i="3"/>
  <c r="J2" i="3"/>
  <c r="I2" i="3"/>
  <c r="H2" i="3"/>
  <c r="G2" i="3"/>
  <c r="F2" i="3"/>
  <c r="E2" i="3"/>
  <c r="D2" i="3"/>
  <c r="K58" i="3"/>
  <c r="J58" i="3"/>
  <c r="I58" i="3"/>
  <c r="H58" i="3"/>
  <c r="G58" i="3"/>
  <c r="F58" i="3"/>
  <c r="E58" i="3"/>
  <c r="D58" i="3"/>
  <c r="K9" i="3"/>
  <c r="J9" i="3"/>
  <c r="I9" i="3"/>
  <c r="H9" i="3"/>
  <c r="G9" i="3"/>
  <c r="F9" i="3"/>
  <c r="E9" i="3"/>
  <c r="D9" i="3"/>
  <c r="K47" i="3"/>
  <c r="J47" i="3"/>
  <c r="I47" i="3"/>
  <c r="H47" i="3"/>
  <c r="G47" i="3"/>
  <c r="F47" i="3"/>
  <c r="E47" i="3"/>
  <c r="D47" i="3"/>
  <c r="K60" i="3"/>
  <c r="J60" i="3"/>
  <c r="I60" i="3"/>
  <c r="H60" i="3"/>
  <c r="G60" i="3"/>
  <c r="F60" i="3"/>
  <c r="E60" i="3"/>
  <c r="D60" i="3"/>
  <c r="K51" i="3"/>
  <c r="J51" i="3"/>
  <c r="I51" i="3"/>
  <c r="H51" i="3"/>
  <c r="G51" i="3"/>
  <c r="F51" i="3"/>
  <c r="E51" i="3"/>
  <c r="D51" i="3"/>
  <c r="K12" i="3"/>
  <c r="J12" i="3"/>
  <c r="I12" i="3"/>
  <c r="H12" i="3"/>
  <c r="G12" i="3"/>
  <c r="F12" i="3"/>
  <c r="L12" i="3" s="1"/>
  <c r="M12" i="3" s="1"/>
  <c r="E12" i="3"/>
  <c r="N12" i="3" s="1"/>
  <c r="D12" i="3"/>
  <c r="K3" i="3"/>
  <c r="J3" i="3"/>
  <c r="I3" i="3"/>
  <c r="H3" i="3"/>
  <c r="G3" i="3"/>
  <c r="F3" i="3"/>
  <c r="E3" i="3"/>
  <c r="D3" i="3"/>
  <c r="K74" i="3"/>
  <c r="J74" i="3"/>
  <c r="I74" i="3"/>
  <c r="H74" i="3"/>
  <c r="G74" i="3"/>
  <c r="F74" i="3"/>
  <c r="E74" i="3"/>
  <c r="D74" i="3"/>
  <c r="K67" i="3"/>
  <c r="J67" i="3"/>
  <c r="I67" i="3"/>
  <c r="H67" i="3"/>
  <c r="G67" i="3"/>
  <c r="F67" i="3"/>
  <c r="E67" i="3"/>
  <c r="D67" i="3"/>
  <c r="K79" i="3"/>
  <c r="J79" i="3"/>
  <c r="I79" i="3"/>
  <c r="H79" i="3"/>
  <c r="G79" i="3"/>
  <c r="F79" i="3"/>
  <c r="E79" i="3"/>
  <c r="D79" i="3"/>
  <c r="K73" i="3"/>
  <c r="J73" i="3"/>
  <c r="I73" i="3"/>
  <c r="H73" i="3"/>
  <c r="G73" i="3"/>
  <c r="F73" i="3"/>
  <c r="E73" i="3"/>
  <c r="D73" i="3"/>
  <c r="K71" i="3"/>
  <c r="J71" i="3"/>
  <c r="I71" i="3"/>
  <c r="H71" i="3"/>
  <c r="G71" i="3"/>
  <c r="F71" i="3"/>
  <c r="E71" i="3"/>
  <c r="D71" i="3"/>
  <c r="K78" i="3"/>
  <c r="J78" i="3"/>
  <c r="I78" i="3"/>
  <c r="H78" i="3"/>
  <c r="G78" i="3"/>
  <c r="F78" i="3"/>
  <c r="E78" i="3"/>
  <c r="D78" i="3"/>
  <c r="K48" i="3"/>
  <c r="J48" i="3"/>
  <c r="I48" i="3"/>
  <c r="H48" i="3"/>
  <c r="G48" i="3"/>
  <c r="F48" i="3"/>
  <c r="L48" i="3" s="1"/>
  <c r="M48" i="3" s="1"/>
  <c r="E48" i="3"/>
  <c r="N48" i="3" s="1"/>
  <c r="D48" i="3"/>
  <c r="K69" i="3"/>
  <c r="J69" i="3"/>
  <c r="I69" i="3"/>
  <c r="H69" i="3"/>
  <c r="G69" i="3"/>
  <c r="F69" i="3"/>
  <c r="E69" i="3"/>
  <c r="D69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33" i="3"/>
  <c r="J33" i="3"/>
  <c r="I33" i="3"/>
  <c r="H33" i="3"/>
  <c r="G33" i="3"/>
  <c r="F33" i="3"/>
  <c r="E33" i="3"/>
  <c r="D33" i="3"/>
  <c r="K10" i="3"/>
  <c r="J10" i="3"/>
  <c r="I10" i="3"/>
  <c r="H10" i="3"/>
  <c r="G10" i="3"/>
  <c r="F10" i="3"/>
  <c r="E10" i="3"/>
  <c r="D10" i="3"/>
  <c r="K42" i="3"/>
  <c r="J42" i="3"/>
  <c r="I42" i="3"/>
  <c r="H42" i="3"/>
  <c r="G42" i="3"/>
  <c r="F42" i="3"/>
  <c r="E42" i="3"/>
  <c r="D42" i="3"/>
  <c r="K85" i="3"/>
  <c r="J85" i="3"/>
  <c r="I85" i="3"/>
  <c r="H85" i="3"/>
  <c r="G85" i="3"/>
  <c r="F85" i="3"/>
  <c r="E85" i="3"/>
  <c r="D85" i="3"/>
  <c r="K57" i="3"/>
  <c r="J57" i="3"/>
  <c r="I57" i="3"/>
  <c r="H57" i="3"/>
  <c r="G57" i="3"/>
  <c r="F57" i="3"/>
  <c r="L57" i="3" s="1"/>
  <c r="M57" i="3" s="1"/>
  <c r="E57" i="3"/>
  <c r="N57" i="3" s="1"/>
  <c r="D57" i="3"/>
  <c r="K56" i="3"/>
  <c r="J56" i="3"/>
  <c r="I56" i="3"/>
  <c r="H56" i="3"/>
  <c r="G56" i="3"/>
  <c r="F56" i="3"/>
  <c r="E56" i="3"/>
  <c r="D56" i="3"/>
  <c r="K37" i="3"/>
  <c r="J37" i="3"/>
  <c r="I37" i="3"/>
  <c r="H37" i="3"/>
  <c r="G37" i="3"/>
  <c r="F37" i="3"/>
  <c r="E37" i="3"/>
  <c r="D37" i="3"/>
  <c r="K13" i="3"/>
  <c r="J13" i="3"/>
  <c r="I13" i="3"/>
  <c r="H13" i="3"/>
  <c r="G13" i="3"/>
  <c r="F13" i="3"/>
  <c r="E13" i="3"/>
  <c r="D13" i="3"/>
  <c r="K44" i="3"/>
  <c r="J44" i="3"/>
  <c r="I44" i="3"/>
  <c r="H44" i="3"/>
  <c r="G44" i="3"/>
  <c r="F44" i="3"/>
  <c r="E44" i="3"/>
  <c r="D44" i="3"/>
  <c r="K76" i="3"/>
  <c r="J76" i="3"/>
  <c r="I76" i="3"/>
  <c r="H76" i="3"/>
  <c r="G76" i="3"/>
  <c r="F76" i="3"/>
  <c r="E76" i="3"/>
  <c r="D76" i="3"/>
  <c r="K23" i="3"/>
  <c r="J23" i="3"/>
  <c r="I23" i="3"/>
  <c r="H23" i="3"/>
  <c r="G23" i="3"/>
  <c r="F23" i="3"/>
  <c r="E23" i="3"/>
  <c r="D23" i="3"/>
  <c r="K88" i="3"/>
  <c r="J88" i="3"/>
  <c r="I88" i="3"/>
  <c r="H88" i="3"/>
  <c r="G88" i="3"/>
  <c r="F88" i="3"/>
  <c r="E88" i="3"/>
  <c r="D88" i="3"/>
  <c r="B6" i="2"/>
  <c r="B2" i="2"/>
  <c r="B4" i="2"/>
  <c r="B3" i="2"/>
  <c r="B5" i="2"/>
  <c r="B12" i="1"/>
  <c r="B6" i="1" l="1"/>
  <c r="B7" i="2"/>
  <c r="N81" i="3"/>
  <c r="N77" i="3"/>
  <c r="N46" i="3"/>
  <c r="N66" i="3"/>
  <c r="N89" i="3"/>
  <c r="N40" i="3"/>
  <c r="N32" i="3"/>
  <c r="N29" i="3"/>
  <c r="N7" i="3"/>
  <c r="N36" i="3"/>
  <c r="N34" i="3"/>
  <c r="N39" i="3"/>
  <c r="N62" i="3"/>
  <c r="N53" i="3"/>
  <c r="N4" i="3"/>
  <c r="N75" i="3"/>
  <c r="N59" i="3"/>
  <c r="N31" i="3"/>
  <c r="J2" i="2"/>
  <c r="I2" i="2"/>
  <c r="H2" i="2"/>
  <c r="G2" i="2"/>
  <c r="F2" i="2"/>
  <c r="C2" i="2"/>
  <c r="N54" i="3"/>
  <c r="N72" i="3"/>
  <c r="N15" i="3"/>
  <c r="N65" i="3"/>
  <c r="N68" i="3"/>
  <c r="N22" i="3"/>
  <c r="N84" i="3"/>
  <c r="N43" i="3"/>
  <c r="N24" i="3"/>
  <c r="N27" i="3"/>
  <c r="N80" i="3"/>
  <c r="N16" i="3"/>
  <c r="N41" i="3"/>
  <c r="N64" i="3"/>
  <c r="N61" i="3"/>
  <c r="N17" i="3"/>
  <c r="J4" i="2"/>
  <c r="I4" i="2"/>
  <c r="H4" i="2"/>
  <c r="G4" i="2"/>
  <c r="F4" i="2"/>
  <c r="F7" i="1" s="1"/>
  <c r="C4" i="2"/>
  <c r="N6" i="3"/>
  <c r="N28" i="3"/>
  <c r="N11" i="3"/>
  <c r="N14" i="3"/>
  <c r="N26" i="3"/>
  <c r="N45" i="3"/>
  <c r="N49" i="3"/>
  <c r="N2" i="3"/>
  <c r="N58" i="3"/>
  <c r="N9" i="3"/>
  <c r="N47" i="3"/>
  <c r="N60" i="3"/>
  <c r="N51" i="3"/>
  <c r="J3" i="2"/>
  <c r="I3" i="2"/>
  <c r="H3" i="2"/>
  <c r="G3" i="2"/>
  <c r="F3" i="2"/>
  <c r="F6" i="1" s="1"/>
  <c r="C3" i="2"/>
  <c r="N74" i="3"/>
  <c r="N67" i="3"/>
  <c r="N79" i="3"/>
  <c r="N73" i="3"/>
  <c r="N71" i="3"/>
  <c r="N78" i="3"/>
  <c r="N55" i="3"/>
  <c r="N50" i="3"/>
  <c r="N33" i="3"/>
  <c r="N10" i="3"/>
  <c r="N42" i="3"/>
  <c r="N85" i="3"/>
  <c r="N8" i="3"/>
  <c r="N70" i="3"/>
  <c r="N56" i="3"/>
  <c r="N37" i="3"/>
  <c r="N13" i="3"/>
  <c r="N44" i="3"/>
  <c r="N76" i="3"/>
  <c r="N23" i="3"/>
  <c r="J5" i="2"/>
  <c r="I5" i="2"/>
  <c r="H5" i="2"/>
  <c r="G5" i="2"/>
  <c r="F5" i="2"/>
  <c r="C5" i="2"/>
  <c r="N18" i="3"/>
  <c r="N35" i="3"/>
  <c r="N87" i="3"/>
  <c r="N69" i="3"/>
  <c r="L81" i="3"/>
  <c r="M81" i="3" s="1"/>
  <c r="E6" i="2"/>
  <c r="L20" i="3"/>
  <c r="D6" i="2"/>
  <c r="N20" i="3"/>
  <c r="L77" i="3"/>
  <c r="M77" i="3" s="1"/>
  <c r="L46" i="3"/>
  <c r="M46" i="3" s="1"/>
  <c r="L18" i="3"/>
  <c r="M18" i="3" s="1"/>
  <c r="L66" i="3"/>
  <c r="M66" i="3" s="1"/>
  <c r="L35" i="3"/>
  <c r="M35" i="3"/>
  <c r="L40" i="3"/>
  <c r="M40" i="3" s="1"/>
  <c r="L32" i="3"/>
  <c r="M32" i="3" s="1"/>
  <c r="L29" i="3"/>
  <c r="M29" i="3"/>
  <c r="L7" i="3"/>
  <c r="M7" i="3" s="1"/>
  <c r="L36" i="3"/>
  <c r="M36" i="3" s="1"/>
  <c r="L8" i="3"/>
  <c r="M8" i="3"/>
  <c r="L89" i="3"/>
  <c r="M89" i="3" s="1"/>
  <c r="L83" i="3"/>
  <c r="M83" i="3" s="1"/>
  <c r="L39" i="3"/>
  <c r="M39" i="3" s="1"/>
  <c r="L19" i="3"/>
  <c r="M19" i="3"/>
  <c r="L62" i="3"/>
  <c r="M62" i="3" s="1"/>
  <c r="L53" i="3"/>
  <c r="M53" i="3" s="1"/>
  <c r="L4" i="3"/>
  <c r="M4" i="3" s="1"/>
  <c r="L34" i="3"/>
  <c r="M34" i="3" s="1"/>
  <c r="L87" i="3"/>
  <c r="M87" i="3"/>
  <c r="L21" i="3"/>
  <c r="M21" i="3" s="1"/>
  <c r="L59" i="3"/>
  <c r="M59" i="3" s="1"/>
  <c r="L5" i="3"/>
  <c r="M5" i="3"/>
  <c r="L31" i="3"/>
  <c r="M31" i="3" s="1"/>
  <c r="L52" i="3"/>
  <c r="M52" i="3" s="1"/>
  <c r="E2" i="2"/>
  <c r="D2" i="2"/>
  <c r="N52" i="3"/>
  <c r="L70" i="3"/>
  <c r="M70" i="3" s="1"/>
  <c r="L75" i="3"/>
  <c r="M75" i="3" s="1"/>
  <c r="L86" i="3"/>
  <c r="M86" i="3" s="1"/>
  <c r="L65" i="3"/>
  <c r="M65" i="3"/>
  <c r="L68" i="3"/>
  <c r="M68" i="3"/>
  <c r="L22" i="3"/>
  <c r="M22" i="3"/>
  <c r="L84" i="3"/>
  <c r="M84" i="3" s="1"/>
  <c r="L43" i="3"/>
  <c r="M43" i="3" s="1"/>
  <c r="L54" i="3"/>
  <c r="M54" i="3" s="1"/>
  <c r="L24" i="3"/>
  <c r="M24" i="3" s="1"/>
  <c r="L27" i="3"/>
  <c r="M27" i="3" s="1"/>
  <c r="L80" i="3"/>
  <c r="M80" i="3" s="1"/>
  <c r="L16" i="3"/>
  <c r="M16" i="3"/>
  <c r="L41" i="3"/>
  <c r="M41" i="3" s="1"/>
  <c r="L72" i="3"/>
  <c r="M72" i="3" s="1"/>
  <c r="L15" i="3"/>
  <c r="M15" i="3" s="1"/>
  <c r="L64" i="3"/>
  <c r="M64" i="3" s="1"/>
  <c r="L61" i="3"/>
  <c r="M61" i="3"/>
  <c r="L17" i="3"/>
  <c r="M17" i="3" s="1"/>
  <c r="E4" i="2"/>
  <c r="L63" i="3"/>
  <c r="D4" i="2"/>
  <c r="N63" i="3"/>
  <c r="L6" i="3"/>
  <c r="M6" i="3"/>
  <c r="L28" i="3"/>
  <c r="M28" i="3" s="1"/>
  <c r="L11" i="3"/>
  <c r="M11" i="3"/>
  <c r="L14" i="3"/>
  <c r="M14" i="3" s="1"/>
  <c r="L26" i="3"/>
  <c r="M26" i="3" s="1"/>
  <c r="L45" i="3"/>
  <c r="M45" i="3" s="1"/>
  <c r="L49" i="3"/>
  <c r="M49" i="3" s="1"/>
  <c r="L2" i="3"/>
  <c r="M2" i="3" s="1"/>
  <c r="L58" i="3"/>
  <c r="M58" i="3" s="1"/>
  <c r="L9" i="3"/>
  <c r="M9" i="3" s="1"/>
  <c r="L47" i="3"/>
  <c r="M47" i="3" s="1"/>
  <c r="L60" i="3"/>
  <c r="M60" i="3" s="1"/>
  <c r="L51" i="3"/>
  <c r="M51" i="3" s="1"/>
  <c r="L3" i="3"/>
  <c r="M3" i="3" s="1"/>
  <c r="E3" i="2"/>
  <c r="N3" i="3"/>
  <c r="D3" i="2"/>
  <c r="L74" i="3"/>
  <c r="M74" i="3" s="1"/>
  <c r="L67" i="3"/>
  <c r="M67" i="3"/>
  <c r="L79" i="3"/>
  <c r="M79" i="3" s="1"/>
  <c r="L73" i="3"/>
  <c r="M73" i="3"/>
  <c r="L71" i="3"/>
  <c r="M71" i="3" s="1"/>
  <c r="L78" i="3"/>
  <c r="M78" i="3" s="1"/>
  <c r="L69" i="3"/>
  <c r="M69" i="3" s="1"/>
  <c r="L55" i="3"/>
  <c r="M55" i="3"/>
  <c r="L50" i="3"/>
  <c r="M50" i="3"/>
  <c r="L33" i="3"/>
  <c r="M33" i="3"/>
  <c r="L10" i="3"/>
  <c r="M10" i="3" s="1"/>
  <c r="L42" i="3"/>
  <c r="M42" i="3"/>
  <c r="L85" i="3"/>
  <c r="M85" i="3"/>
  <c r="L56" i="3"/>
  <c r="M56" i="3"/>
  <c r="L37" i="3"/>
  <c r="M37" i="3" s="1"/>
  <c r="L13" i="3"/>
  <c r="M13" i="3"/>
  <c r="L44" i="3"/>
  <c r="M44" i="3"/>
  <c r="L76" i="3"/>
  <c r="M76" i="3" s="1"/>
  <c r="L23" i="3"/>
  <c r="M23" i="3" s="1"/>
  <c r="L88" i="3"/>
  <c r="E5" i="2"/>
  <c r="M88" i="3"/>
  <c r="D5" i="2"/>
  <c r="N88" i="3"/>
  <c r="F8" i="1" l="1"/>
  <c r="J7" i="2"/>
  <c r="I7" i="2"/>
  <c r="H7" i="2"/>
  <c r="G7" i="2"/>
  <c r="K2" i="2"/>
  <c r="L2" i="2" s="1"/>
  <c r="K5" i="2"/>
  <c r="L5" i="2" s="1"/>
  <c r="F5" i="1"/>
  <c r="B9" i="1"/>
  <c r="F7" i="2"/>
  <c r="C7" i="2"/>
  <c r="B5" i="1"/>
  <c r="E9" i="1"/>
  <c r="M6" i="2"/>
  <c r="G9" i="1"/>
  <c r="E8" i="1"/>
  <c r="M2" i="2"/>
  <c r="G8" i="1"/>
  <c r="E7" i="1"/>
  <c r="M4" i="2"/>
  <c r="G7" i="1"/>
  <c r="E6" i="1"/>
  <c r="M3" i="2"/>
  <c r="G6" i="1"/>
  <c r="E7" i="2"/>
  <c r="E5" i="1"/>
  <c r="B8" i="1"/>
  <c r="M5" i="2"/>
  <c r="D7" i="2"/>
  <c r="G5" i="1"/>
  <c r="B7" i="1"/>
  <c r="K3" i="2"/>
  <c r="K6" i="2"/>
  <c r="L6" i="2" s="1"/>
  <c r="M20" i="3"/>
  <c r="K4" i="2"/>
  <c r="L4" i="2" s="1"/>
  <c r="M63" i="3"/>
  <c r="M7" i="2" l="1"/>
  <c r="L3" i="2"/>
  <c r="B10" i="1"/>
  <c r="B11" i="1" s="1"/>
  <c r="K7" i="2"/>
  <c r="L7" i="2" s="1"/>
</calcChain>
</file>

<file path=xl/sharedStrings.xml><?xml version="1.0" encoding="utf-8"?>
<sst xmlns="http://schemas.openxmlformats.org/spreadsheetml/2006/main" count="8152" uniqueCount="1727">
  <si>
    <t>Branch &amp; Recruiter Revenue Dashboard</t>
  </si>
  <si>
    <t>KPI</t>
  </si>
  <si>
    <t>Value</t>
  </si>
  <si>
    <t>Branch</t>
  </si>
  <si>
    <t>Payment Received</t>
  </si>
  <si>
    <t>Pending (PP + IP)</t>
  </si>
  <si>
    <t>Gross Billing</t>
  </si>
  <si>
    <t>Placements</t>
  </si>
  <si>
    <t>Bangalore</t>
  </si>
  <si>
    <t>Recruiter Groups</t>
  </si>
  <si>
    <t>Delhi</t>
  </si>
  <si>
    <t>Faridabad</t>
  </si>
  <si>
    <t>Gurgaon</t>
  </si>
  <si>
    <t>Hyderabad</t>
  </si>
  <si>
    <t>Active Revenue</t>
  </si>
  <si>
    <t>Realization %</t>
  </si>
  <si>
    <t>Records Needing Review</t>
  </si>
  <si>
    <t>Report Notes</t>
  </si>
  <si>
    <t>Revenue uses Billing Amount. Branch variants Bengaluru/Banglaore are standardized to Bangalore. Blank recruiter records are retained under 'Unassigned / Blank Recruiter' so the placement total fully reconciles. Payment status 'pp' is standardized to PP. Blank Billing Amounts are excluded from revenue totals, and the invoice-like payment status value is retained as Other / Review. Original source values remain in Sorted Data.</t>
  </si>
  <si>
    <t>PP</t>
  </si>
  <si>
    <t>IP</t>
  </si>
  <si>
    <t>Backout</t>
  </si>
  <si>
    <t>Credit Note</t>
  </si>
  <si>
    <t>Other / Review</t>
  </si>
  <si>
    <t>Avg Revenue / Placement</t>
  </si>
  <si>
    <t>TOTAL</t>
  </si>
  <si>
    <t>Account Manager</t>
  </si>
  <si>
    <t>Recruiter</t>
  </si>
  <si>
    <t>Avinash</t>
  </si>
  <si>
    <t>Ajit / Avinash</t>
  </si>
  <si>
    <t>Jayadev</t>
  </si>
  <si>
    <t>Lalitha Sri</t>
  </si>
  <si>
    <t>Navya</t>
  </si>
  <si>
    <t>Rakshita</t>
  </si>
  <si>
    <t>Shwetha</t>
  </si>
  <si>
    <t>Vedha</t>
  </si>
  <si>
    <t>Visali</t>
  </si>
  <si>
    <t>Haritha</t>
  </si>
  <si>
    <t>Rakshitha</t>
  </si>
  <si>
    <t>Vishali</t>
  </si>
  <si>
    <t>Manorma</t>
  </si>
  <si>
    <t>Bhumika</t>
  </si>
  <si>
    <t>Kavita</t>
  </si>
  <si>
    <t>Khushi Makkar</t>
  </si>
  <si>
    <t>Manas</t>
  </si>
  <si>
    <t>Maneet</t>
  </si>
  <si>
    <t>Navya Jain</t>
  </si>
  <si>
    <t>Prabhat Panchal</t>
  </si>
  <si>
    <t>Shubham</t>
  </si>
  <si>
    <t>Simran</t>
  </si>
  <si>
    <t>Sneha</t>
  </si>
  <si>
    <t>Srishti</t>
  </si>
  <si>
    <t>Srishti Gupta</t>
  </si>
  <si>
    <t>Stuti</t>
  </si>
  <si>
    <t>Unassigned / Blank Recruiter</t>
  </si>
  <si>
    <t>Yamini</t>
  </si>
  <si>
    <t>Bikash Das</t>
  </si>
  <si>
    <t>Area Sales Manager</t>
  </si>
  <si>
    <t>Bikash</t>
  </si>
  <si>
    <t>Deepika</t>
  </si>
  <si>
    <t>Deepika Talwar</t>
  </si>
  <si>
    <t>Indu</t>
  </si>
  <si>
    <t>Lalit</t>
  </si>
  <si>
    <t>Lalit Kumar</t>
  </si>
  <si>
    <t>Madhuri</t>
  </si>
  <si>
    <t>Mukta</t>
  </si>
  <si>
    <t>Neha</t>
  </si>
  <si>
    <t>Neha Matpal</t>
  </si>
  <si>
    <t>Nidhi Singh</t>
  </si>
  <si>
    <t>Parul</t>
  </si>
  <si>
    <t>Parul Mangla</t>
  </si>
  <si>
    <t>Shivani</t>
  </si>
  <si>
    <t>Shivani Dinkar</t>
  </si>
  <si>
    <t>Indu Sagar</t>
  </si>
  <si>
    <t>Mukta Kumari</t>
  </si>
  <si>
    <t>Rohit Yadav</t>
  </si>
  <si>
    <t>Abhay</t>
  </si>
  <si>
    <t>Abhey</t>
  </si>
  <si>
    <t>Ajit Yadav</t>
  </si>
  <si>
    <t>Diya</t>
  </si>
  <si>
    <t>Gaurav</t>
  </si>
  <si>
    <t>Janvi</t>
  </si>
  <si>
    <t>Janvi Sharma</t>
  </si>
  <si>
    <t>Jatin</t>
  </si>
  <si>
    <t>Jatin Yadav</t>
  </si>
  <si>
    <t>Jitender</t>
  </si>
  <si>
    <t>Karambir</t>
  </si>
  <si>
    <t>Karamvir</t>
  </si>
  <si>
    <t>Nikita</t>
  </si>
  <si>
    <t>Priyanaka</t>
  </si>
  <si>
    <t>Priyanka</t>
  </si>
  <si>
    <t>Priyanka Yadav</t>
  </si>
  <si>
    <t>Robin</t>
  </si>
  <si>
    <t>Robin Yadav</t>
  </si>
  <si>
    <t>Rohit</t>
  </si>
  <si>
    <t>Ronak</t>
  </si>
  <si>
    <t>Sachin</t>
  </si>
  <si>
    <t>Saurabh</t>
  </si>
  <si>
    <t>Sudha</t>
  </si>
  <si>
    <t>Yash</t>
  </si>
  <si>
    <t>Krishna</t>
  </si>
  <si>
    <t>Madhavi</t>
  </si>
  <si>
    <t>S.No</t>
  </si>
  <si>
    <t>Branch (Original)</t>
  </si>
  <si>
    <t>Branch (Standard)</t>
  </si>
  <si>
    <t>Account Manager (Original)</t>
  </si>
  <si>
    <t>Account Manager (Standard)</t>
  </si>
  <si>
    <t>Recruiter (Original)</t>
  </si>
  <si>
    <t>Recruiter (Standard)</t>
  </si>
  <si>
    <t>Organization</t>
  </si>
  <si>
    <t>Candidate Name</t>
  </si>
  <si>
    <t>Designation</t>
  </si>
  <si>
    <t>Department</t>
  </si>
  <si>
    <t>Location</t>
  </si>
  <si>
    <t>DOJ</t>
  </si>
  <si>
    <t>Offered CTC</t>
  </si>
  <si>
    <t>Invoice No.</t>
  </si>
  <si>
    <t>Billing Amount (Original)</t>
  </si>
  <si>
    <t>Revenue (Numeric)</t>
  </si>
  <si>
    <t>Invoice Date</t>
  </si>
  <si>
    <t>Payment Status (Original)</t>
  </si>
  <si>
    <t>Payment Status (Standard)</t>
  </si>
  <si>
    <t>Data Quality Note</t>
  </si>
  <si>
    <t>Banglaore</t>
  </si>
  <si>
    <t>Royal Enfield</t>
  </si>
  <si>
    <t>Priyadarshan</t>
  </si>
  <si>
    <t>Paint R&amp;D</t>
  </si>
  <si>
    <t>Chennai</t>
  </si>
  <si>
    <t>09.09.26</t>
  </si>
  <si>
    <t>Joined</t>
  </si>
  <si>
    <t>Branch normalized: Banglaore → Bangalore</t>
  </si>
  <si>
    <t>Bengaluru</t>
  </si>
  <si>
    <t>Mahindra AI</t>
  </si>
  <si>
    <t>Shivam S</t>
  </si>
  <si>
    <t>Sr. Data Science</t>
  </si>
  <si>
    <t>16.07.26</t>
  </si>
  <si>
    <t>31,45,006</t>
  </si>
  <si>
    <t>VHCPL/26-27/46</t>
  </si>
  <si>
    <t>3,14,500.60</t>
  </si>
  <si>
    <t>30.7.2026</t>
  </si>
  <si>
    <t>Branch normalized: Bengaluru → Bangalore</t>
  </si>
  <si>
    <t>Miebach</t>
  </si>
  <si>
    <t>Tejeshwar</t>
  </si>
  <si>
    <t>PM</t>
  </si>
  <si>
    <t>Mumbai</t>
  </si>
  <si>
    <t>05.1.26</t>
  </si>
  <si>
    <t>VHCPL/25-26/102</t>
  </si>
  <si>
    <t>13.02.2026</t>
  </si>
  <si>
    <t>Ahamed Basha</t>
  </si>
  <si>
    <t>Store &amp; Warehouse</t>
  </si>
  <si>
    <t>07.09.26</t>
  </si>
  <si>
    <t>4,00,000</t>
  </si>
  <si>
    <t>PI/26-27/80</t>
  </si>
  <si>
    <t>16.9.2026</t>
  </si>
  <si>
    <t>Parthiban P</t>
  </si>
  <si>
    <t>4,50,000</t>
  </si>
  <si>
    <t>Best Auto</t>
  </si>
  <si>
    <t>Abhishek Jain</t>
  </si>
  <si>
    <t>Design Engineer</t>
  </si>
  <si>
    <t>Bilaspur</t>
  </si>
  <si>
    <t>16.01.26</t>
  </si>
  <si>
    <t>VHCPL/25-26/99</t>
  </si>
  <si>
    <t>07.02.2026</t>
  </si>
  <si>
    <t>BFW</t>
  </si>
  <si>
    <t>Amol Pawar</t>
  </si>
  <si>
    <t>HR Business Partner (HR BP) - Sales, Marketing &amp; Post-Sales</t>
  </si>
  <si>
    <t>Pune</t>
  </si>
  <si>
    <t>Muralidharan G</t>
  </si>
  <si>
    <t>SE - MSE - Fabrication</t>
  </si>
  <si>
    <t>20.07.26</t>
  </si>
  <si>
    <t>VHCPL/26-27/81</t>
  </si>
  <si>
    <t>17.9.2026</t>
  </si>
  <si>
    <t>Vignesh.S</t>
  </si>
  <si>
    <t>Liquid Painting</t>
  </si>
  <si>
    <t>17.08.26</t>
  </si>
  <si>
    <t>16,01,786</t>
  </si>
  <si>
    <t>PI/26-27/79</t>
  </si>
  <si>
    <t>1,33,428.77</t>
  </si>
  <si>
    <t>Carraro</t>
  </si>
  <si>
    <t>Suyog Mashelkar</t>
  </si>
  <si>
    <t>Quality Head</t>
  </si>
  <si>
    <t>13.04.26</t>
  </si>
  <si>
    <t>VHC/26-27/31</t>
  </si>
  <si>
    <t>13.5-2026</t>
  </si>
  <si>
    <t>Saurav Kumar</t>
  </si>
  <si>
    <t>Sr. Consultant</t>
  </si>
  <si>
    <t>VHCPL/26-27/13</t>
  </si>
  <si>
    <t>15.05.26</t>
  </si>
  <si>
    <t>RE</t>
  </si>
  <si>
    <t>Thamilarasu</t>
  </si>
  <si>
    <t>Manufacturing Quality FTE</t>
  </si>
  <si>
    <t>Ganesh Ram</t>
  </si>
  <si>
    <t>Project &amp; ME-Vehicle Assembly</t>
  </si>
  <si>
    <t>31.08.26</t>
  </si>
  <si>
    <t>14,48,661</t>
  </si>
  <si>
    <t>1,20,673.46</t>
  </si>
  <si>
    <t>Indhuru D</t>
  </si>
  <si>
    <t>Project &amp; ME-Machining</t>
  </si>
  <si>
    <t>6,16,121</t>
  </si>
  <si>
    <t>Lakshmana Perumal.K</t>
  </si>
  <si>
    <t>24.08.26</t>
  </si>
  <si>
    <t>16,07,143</t>
  </si>
  <si>
    <t>PI/26-27/78</t>
  </si>
  <si>
    <t>1,33,875.01</t>
  </si>
  <si>
    <t>Shanthi Gear</t>
  </si>
  <si>
    <t>Senthil Murgun</t>
  </si>
  <si>
    <t>Head Finance</t>
  </si>
  <si>
    <t>Coimbatore</t>
  </si>
  <si>
    <t>02.3.26</t>
  </si>
  <si>
    <t>VHCPL/25-26/107</t>
  </si>
  <si>
    <t>05.03.2026</t>
  </si>
  <si>
    <t>shwetha</t>
  </si>
  <si>
    <t>Bhooyas Kapadia</t>
  </si>
  <si>
    <t>AI Engineer</t>
  </si>
  <si>
    <t>15.06.26</t>
  </si>
  <si>
    <t>VHCPL/26-27/36</t>
  </si>
  <si>
    <t>8.7.2026</t>
  </si>
  <si>
    <t>Branch normalized: Bengaluru → Bangalore; Recruiter normalized: shwetha → Shwetha</t>
  </si>
  <si>
    <t>Navya Satyanarayana. Gara</t>
  </si>
  <si>
    <t>FTE-ME-Machining</t>
  </si>
  <si>
    <t>27.07.26</t>
  </si>
  <si>
    <t>Channabasava Hiremath</t>
  </si>
  <si>
    <t>15,67,857</t>
  </si>
  <si>
    <t>1,30,602.48</t>
  </si>
  <si>
    <t>Sanjay.S</t>
  </si>
  <si>
    <t>FTE-Product Enigneer</t>
  </si>
  <si>
    <t>Santhoes kumar S</t>
  </si>
  <si>
    <t>Robotic Painting</t>
  </si>
  <si>
    <t>9,84,375</t>
  </si>
  <si>
    <t>Kushi Batta</t>
  </si>
  <si>
    <t>FTE Project &amp; ME-Engine Assembly</t>
  </si>
  <si>
    <t>Annamalai</t>
  </si>
  <si>
    <t>AM - SQA Sheet Metal</t>
  </si>
  <si>
    <t>7,18,214</t>
  </si>
  <si>
    <t>Aravind E</t>
  </si>
  <si>
    <t>Maufacturing Quality</t>
  </si>
  <si>
    <t>S. Dharani Kumar</t>
  </si>
  <si>
    <t>Paint</t>
  </si>
  <si>
    <t>10.08.26</t>
  </si>
  <si>
    <t>12,50,000</t>
  </si>
  <si>
    <t>1,04,125</t>
  </si>
  <si>
    <t>Twinkle</t>
  </si>
  <si>
    <t>HR</t>
  </si>
  <si>
    <t>03.08.26</t>
  </si>
  <si>
    <t>VHCPL/26-27/68</t>
  </si>
  <si>
    <t>3.9.2026</t>
  </si>
  <si>
    <t>Aravindsamy</t>
  </si>
  <si>
    <t>3,50,000</t>
  </si>
  <si>
    <t>Preethi S</t>
  </si>
  <si>
    <t>Nisha G Jammanakatti</t>
  </si>
  <si>
    <t>Hr &amp; Admin</t>
  </si>
  <si>
    <t>Borgwarner</t>
  </si>
  <si>
    <t>Sreeram PKJ</t>
  </si>
  <si>
    <t>Hardware Test Lead</t>
  </si>
  <si>
    <t>06.07.26</t>
  </si>
  <si>
    <t>38,00,004</t>
  </si>
  <si>
    <t>VHCPL/26-27/45</t>
  </si>
  <si>
    <t>3,73,517.59</t>
  </si>
  <si>
    <t>22.7.2026</t>
  </si>
  <si>
    <t>JSW</t>
  </si>
  <si>
    <t>Ajay Giri</t>
  </si>
  <si>
    <t>Solution /Data Architect</t>
  </si>
  <si>
    <t>VHCPL/26-27/59</t>
  </si>
  <si>
    <t>19.8.2026</t>
  </si>
  <si>
    <t>Ashish Bhavsar</t>
  </si>
  <si>
    <t>Product Management - Digitalization</t>
  </si>
  <si>
    <t>28,61,000</t>
  </si>
  <si>
    <t>VHCPL/26-27/49</t>
  </si>
  <si>
    <t>2,28,880</t>
  </si>
  <si>
    <t>4.8.2026</t>
  </si>
  <si>
    <t>Rupesh Kamble</t>
  </si>
  <si>
    <t>QA Engineer</t>
  </si>
  <si>
    <t>25.05.2026</t>
  </si>
  <si>
    <t>VHCPL/26-27/23</t>
  </si>
  <si>
    <t>2.6.2026</t>
  </si>
  <si>
    <t>JSW Energy</t>
  </si>
  <si>
    <t>Syed Iqbal</t>
  </si>
  <si>
    <t>Lead Data Scientist</t>
  </si>
  <si>
    <t>02.03.26</t>
  </si>
  <si>
    <t>VHCPL/25-26/111</t>
  </si>
  <si>
    <t>10.03.2026</t>
  </si>
  <si>
    <t>Souvik Ghosh</t>
  </si>
  <si>
    <t>DGM - Digital Lead</t>
  </si>
  <si>
    <t>20.04.26</t>
  </si>
  <si>
    <t>VHCPL/26-27/06</t>
  </si>
  <si>
    <t>22.04.2026</t>
  </si>
  <si>
    <t>Arnold Matthew</t>
  </si>
  <si>
    <t>ALM Tool Engineer</t>
  </si>
  <si>
    <t>07.05.26</t>
  </si>
  <si>
    <t>VHCPL/26-27/17</t>
  </si>
  <si>
    <t>28.5.2026</t>
  </si>
  <si>
    <t>Sanjay Gowda</t>
  </si>
  <si>
    <t>SIL Software Development Lead Engineer</t>
  </si>
  <si>
    <t>03.09.26</t>
  </si>
  <si>
    <t>VHCPL/26-27/70</t>
  </si>
  <si>
    <t>8.9.2026</t>
  </si>
  <si>
    <t>SAR Group</t>
  </si>
  <si>
    <t>Manjunath MP</t>
  </si>
  <si>
    <t>Manager BD</t>
  </si>
  <si>
    <t>04.05.26</t>
  </si>
  <si>
    <t>VHCPL/26-27/15</t>
  </si>
  <si>
    <t>27.05.2026</t>
  </si>
  <si>
    <t>SAR</t>
  </si>
  <si>
    <t>Nikitha SM</t>
  </si>
  <si>
    <t>Embedded Fimware Engineer</t>
  </si>
  <si>
    <t>08.06.26</t>
  </si>
  <si>
    <t>VHCPL/26-27/27</t>
  </si>
  <si>
    <t>12.6.2026</t>
  </si>
  <si>
    <t>Sulzer</t>
  </si>
  <si>
    <t>Ashok Kumar Bokkasm</t>
  </si>
  <si>
    <t>Regional Sales Manager</t>
  </si>
  <si>
    <t>VHCPL/26-27/58</t>
  </si>
  <si>
    <t>1,74,930</t>
  </si>
  <si>
    <t>Sandeep Kumar</t>
  </si>
  <si>
    <t>Field Service Engineer - Turbo Services</t>
  </si>
  <si>
    <t>Vadodara</t>
  </si>
  <si>
    <t>05.08.26</t>
  </si>
  <si>
    <t>1,12,455</t>
  </si>
  <si>
    <t>Di Aero Pvt. Ltd.</t>
  </si>
  <si>
    <t>Rekha Kumari</t>
  </si>
  <si>
    <t>Senior Executive Admin</t>
  </si>
  <si>
    <t>09.02.26</t>
  </si>
  <si>
    <t>VHCPL/25-26/104</t>
  </si>
  <si>
    <t>23.02.2026</t>
  </si>
  <si>
    <t>Diaero</t>
  </si>
  <si>
    <t>Santosh Kumar Mishra</t>
  </si>
  <si>
    <t>Senior Executive Accounts </t>
  </si>
  <si>
    <t>Noida</t>
  </si>
  <si>
    <t>17.02.26</t>
  </si>
  <si>
    <t>VHCPL/25-26/113</t>
  </si>
  <si>
    <t>13.03.2026</t>
  </si>
  <si>
    <t>VECS</t>
  </si>
  <si>
    <t>Mahesh B</t>
  </si>
  <si>
    <t>Embedded Firmware Developer</t>
  </si>
  <si>
    <t>22.07.26</t>
  </si>
  <si>
    <t>VHC/26-27/80</t>
  </si>
  <si>
    <t>6.8.2026</t>
  </si>
  <si>
    <t>Gurunath</t>
  </si>
  <si>
    <t>Embedded Developer</t>
  </si>
  <si>
    <t>18.06.26</t>
  </si>
  <si>
    <t>VHC/26-27/71</t>
  </si>
  <si>
    <t>31.7.2026</t>
  </si>
  <si>
    <t>Shanti Gears</t>
  </si>
  <si>
    <t>Krishna Kumar</t>
  </si>
  <si>
    <t>Asst. Manager -BD- Defence</t>
  </si>
  <si>
    <t>12,47,160</t>
  </si>
  <si>
    <t>VHCPL/26-27/67</t>
  </si>
  <si>
    <t>2.9.2026</t>
  </si>
  <si>
    <t>N. Karthikeyan</t>
  </si>
  <si>
    <t>Application Engineer - Construction Equipment</t>
  </si>
  <si>
    <t>8,88,000</t>
  </si>
  <si>
    <t>Escorts Kubota Finance</t>
  </si>
  <si>
    <t>Saloni Soni</t>
  </si>
  <si>
    <t>Lead -IT (Senior Manager / Chief Manager)</t>
  </si>
  <si>
    <t>12.08.26</t>
  </si>
  <si>
    <t>Hyundai Mobis</t>
  </si>
  <si>
    <t>Umesh Patil</t>
  </si>
  <si>
    <t> Global OE Sales – GM Level</t>
  </si>
  <si>
    <t>12.05.26</t>
  </si>
  <si>
    <t>VHCPL/26-27/53</t>
  </si>
  <si>
    <t>9,72,000</t>
  </si>
  <si>
    <t>13.8.2026</t>
  </si>
  <si>
    <t>JKYMS</t>
  </si>
  <si>
    <t>Amit Sharma</t>
  </si>
  <si>
    <t> Team Member – HR Operations</t>
  </si>
  <si>
    <t>02.04.26</t>
  </si>
  <si>
    <t>VHC/26-27/68</t>
  </si>
  <si>
    <t>29.7.2026</t>
  </si>
  <si>
    <t>Raushan Kumar Jha</t>
  </si>
  <si>
    <t>Team Lead - Accounts payable</t>
  </si>
  <si>
    <t>30.03.26</t>
  </si>
  <si>
    <t>VHC/26-27/67</t>
  </si>
  <si>
    <t>Sandeep Kumar Narwal</t>
  </si>
  <si>
    <t>Senior Analyst - Accounts payable</t>
  </si>
  <si>
    <t>16.03.26</t>
  </si>
  <si>
    <t>VHC/25-26/155</t>
  </si>
  <si>
    <t>20.03.2026</t>
  </si>
  <si>
    <t>Praduman Pratap Singh</t>
  </si>
  <si>
    <t>AGM - Transmission Line</t>
  </si>
  <si>
    <t>Jharsuguda</t>
  </si>
  <si>
    <t>25.08.26</t>
  </si>
  <si>
    <t>VHCPL/26-27/75</t>
  </si>
  <si>
    <t>11.9.2026</t>
  </si>
  <si>
    <t>Riya Jain</t>
  </si>
  <si>
    <t>Deputy Manager - Direct Taxation</t>
  </si>
  <si>
    <t>11.02.26</t>
  </si>
  <si>
    <t>VHCPL/25-26/106</t>
  </si>
  <si>
    <t>27.02.2026</t>
  </si>
  <si>
    <t>Mitsubishi</t>
  </si>
  <si>
    <t>Sandeep Kanyal</t>
  </si>
  <si>
    <t> Manager - JSOX</t>
  </si>
  <si>
    <t>VHC/26-27/09</t>
  </si>
  <si>
    <t>Suzuki</t>
  </si>
  <si>
    <t>S M Shanawaz Mujawar</t>
  </si>
  <si>
    <t>Leader - Crash Analysis</t>
  </si>
  <si>
    <t>VHCPL/25-26/116</t>
  </si>
  <si>
    <t>24.03.2026</t>
  </si>
  <si>
    <t>Hero Motocorp</t>
  </si>
  <si>
    <t>Jatin Sharma</t>
  </si>
  <si>
    <t>SCM – Sheet Metal</t>
  </si>
  <si>
    <t>Gurugram</t>
  </si>
  <si>
    <t>30.6.2026</t>
  </si>
  <si>
    <t>VHCPL/26-27/31</t>
  </si>
  <si>
    <t>25.6.2026</t>
  </si>
  <si>
    <t>Nikhil Paliwal</t>
  </si>
  <si>
    <t>Program Manager- Digital</t>
  </si>
  <si>
    <t>UV- Gurugram</t>
  </si>
  <si>
    <t>1,70,461.04</t>
  </si>
  <si>
    <t>Piyush Purohit</t>
  </si>
  <si>
    <t>SCM E4</t>
  </si>
  <si>
    <t>Neemrana</t>
  </si>
  <si>
    <t>02.02.26</t>
  </si>
  <si>
    <t>VHCPL./25-26/112</t>
  </si>
  <si>
    <t>11.03.2026</t>
  </si>
  <si>
    <t>Rakesh R</t>
  </si>
  <si>
    <t>Buyer- Supply Chain Operations</t>
  </si>
  <si>
    <t>Tirupati</t>
  </si>
  <si>
    <t>VHCPL/26-27/72</t>
  </si>
  <si>
    <t>1,20,125.93</t>
  </si>
  <si>
    <t>Saurabh Sharma</t>
  </si>
  <si>
    <t>E4 - SCM</t>
  </si>
  <si>
    <t>Sumitabh Paul</t>
  </si>
  <si>
    <t>E4 - Buyer - Polymer</t>
  </si>
  <si>
    <t>09.03.26</t>
  </si>
  <si>
    <t>VHCPL/25-26/117</t>
  </si>
  <si>
    <t>30.03.2026</t>
  </si>
  <si>
    <t>Suprajeet Lenka</t>
  </si>
  <si>
    <t>E4</t>
  </si>
  <si>
    <t>05.01.26</t>
  </si>
  <si>
    <t>VHCPL/25-26/100</t>
  </si>
  <si>
    <t>09.02.2026</t>
  </si>
  <si>
    <t>Vaishnavi Tripathi</t>
  </si>
  <si>
    <t> ER- Contingent Cell</t>
  </si>
  <si>
    <t>Vivek Gaur</t>
  </si>
  <si>
    <t>Buyer Supply Chain</t>
  </si>
  <si>
    <t>1,10,650.14</t>
  </si>
  <si>
    <t>Meena</t>
  </si>
  <si>
    <t>Accounts Receivables</t>
  </si>
  <si>
    <t>23.03.26</t>
  </si>
  <si>
    <t>Navdeep</t>
  </si>
  <si>
    <t>Payable</t>
  </si>
  <si>
    <t>Rahul Kumar</t>
  </si>
  <si>
    <t>Receivable</t>
  </si>
  <si>
    <t>VHC/25-26/154</t>
  </si>
  <si>
    <t>Sushil kumar</t>
  </si>
  <si>
    <t>Yaseen Saifi</t>
  </si>
  <si>
    <t>MG motor</t>
  </si>
  <si>
    <t>Raksha Patel</t>
  </si>
  <si>
    <t>Warehouse Operations</t>
  </si>
  <si>
    <t>Halol</t>
  </si>
  <si>
    <t>01.06.26</t>
  </si>
  <si>
    <t>VHCPL/26-27/22</t>
  </si>
  <si>
    <t>1.6.2026</t>
  </si>
  <si>
    <t>Treadwell</t>
  </si>
  <si>
    <t>Chirayu Chavda</t>
  </si>
  <si>
    <t>Project Manager</t>
  </si>
  <si>
    <t>Ahmedabad</t>
  </si>
  <si>
    <t>09.06.26</t>
  </si>
  <si>
    <t>VHCPL/26-27/34</t>
  </si>
  <si>
    <t>Hari Krishnan</t>
  </si>
  <si>
    <t>30.06.26</t>
  </si>
  <si>
    <t>1,25,000</t>
  </si>
  <si>
    <t>Hero Moto Corp</t>
  </si>
  <si>
    <t>Shantanu Ramakant Mokashi</t>
  </si>
  <si>
    <t>Territory Sales Officer (Offroll)</t>
  </si>
  <si>
    <t>Aurangabad</t>
  </si>
  <si>
    <t>Sagar Borde</t>
  </si>
  <si>
    <t>Office Administrator</t>
  </si>
  <si>
    <t>22.06.26</t>
  </si>
  <si>
    <t>4,91,100</t>
  </si>
  <si>
    <t>VHC/26-27/61</t>
  </si>
  <si>
    <t>9.7.2026</t>
  </si>
  <si>
    <t>Tushar Vats</t>
  </si>
  <si>
    <t>6,00,000</t>
  </si>
  <si>
    <t>Panasonic Corporate</t>
  </si>
  <si>
    <t>Soumyak Das</t>
  </si>
  <si>
    <t>Assistant Manager - Sales</t>
  </si>
  <si>
    <t>Bhubaneshwar</t>
  </si>
  <si>
    <t>VHC/26-27/93</t>
  </si>
  <si>
    <t>Tufropes</t>
  </si>
  <si>
    <t>Bishal Das</t>
  </si>
  <si>
    <t>Sr. Executive - Sales</t>
  </si>
  <si>
    <t>Guwahati</t>
  </si>
  <si>
    <t>VHCPL/26-27/51</t>
  </si>
  <si>
    <t>10.8.2026</t>
  </si>
  <si>
    <t>Gagan Wadhavan</t>
  </si>
  <si>
    <t>AR Trainee</t>
  </si>
  <si>
    <t>MG Motors</t>
  </si>
  <si>
    <t>Deepak Chander</t>
  </si>
  <si>
    <t>Junior Engineer – Press Shop (Die Maintenance)</t>
  </si>
  <si>
    <t>5,50,012</t>
  </si>
  <si>
    <t>VHCPL/26-27/52</t>
  </si>
  <si>
    <t>Kaustubh Kumar Naik</t>
  </si>
  <si>
    <t>Spare Parts Engineer – Aftersales Engineering</t>
  </si>
  <si>
    <t>VHCPL/26-27/28</t>
  </si>
  <si>
    <t>22.6.2026</t>
  </si>
  <si>
    <t>Sonu Tilak</t>
  </si>
  <si>
    <t>Production-Body Shop</t>
  </si>
  <si>
    <t>11.05.26</t>
  </si>
  <si>
    <t>VHCPL/26-27/14</t>
  </si>
  <si>
    <t>18.05.2026</t>
  </si>
  <si>
    <t>Abhay Kumar Pankaj</t>
  </si>
  <si>
    <t>BMS Engineer</t>
  </si>
  <si>
    <t>VHC/25-26/150</t>
  </si>
  <si>
    <t>17.03.2026</t>
  </si>
  <si>
    <t>Arun Sharma</t>
  </si>
  <si>
    <t>Sr Analyst - AP</t>
  </si>
  <si>
    <t>31.07.26</t>
  </si>
  <si>
    <t>VHC/26-27/78</t>
  </si>
  <si>
    <t>3.8.2026</t>
  </si>
  <si>
    <t>Ayushi Parashar</t>
  </si>
  <si>
    <t>SR Analyst - AR</t>
  </si>
  <si>
    <t>Deepak Goyal</t>
  </si>
  <si>
    <t>TL – R2R</t>
  </si>
  <si>
    <t>Gaurav Bhayana</t>
  </si>
  <si>
    <t>Sr Analyst R2R</t>
  </si>
  <si>
    <t>VHC/26-27/39</t>
  </si>
  <si>
    <t>credit note</t>
  </si>
  <si>
    <t>Gopal Das</t>
  </si>
  <si>
    <t>   Admin (Team Member)</t>
  </si>
  <si>
    <t>27.04.26</t>
  </si>
  <si>
    <t>VHC/26-27/30</t>
  </si>
  <si>
    <t>13.05.2026</t>
  </si>
  <si>
    <t>Hari Narayan</t>
  </si>
  <si>
    <t>TL - AR</t>
  </si>
  <si>
    <t>Himanshu Chauhan</t>
  </si>
  <si>
    <t>AR - Analyst</t>
  </si>
  <si>
    <t>25.06.26</t>
  </si>
  <si>
    <t>VHC/26-27/54</t>
  </si>
  <si>
    <t>2.7.2026</t>
  </si>
  <si>
    <t>Himanshu Jain</t>
  </si>
  <si>
    <t>Manish Kumar</t>
  </si>
  <si>
    <t>R2R</t>
  </si>
  <si>
    <t>Naval Singh</t>
  </si>
  <si>
    <t>SR Analyst AR</t>
  </si>
  <si>
    <t>Nitish Verma</t>
  </si>
  <si>
    <t>28.04.26</t>
  </si>
  <si>
    <t>Prakash Parashar</t>
  </si>
  <si>
    <t>SR Analyst R2R</t>
  </si>
  <si>
    <t/>
  </si>
  <si>
    <t>Prince verma</t>
  </si>
  <si>
    <t>Rajan Kumar</t>
  </si>
  <si>
    <t>Rajan Mishra</t>
  </si>
  <si>
    <t>SR Analyst - AP</t>
  </si>
  <si>
    <t>20.03.26</t>
  </si>
  <si>
    <t>Ruchika Verma</t>
  </si>
  <si>
    <t>       Analyst AR</t>
  </si>
  <si>
    <t>VHC/26-27/69</t>
  </si>
  <si>
    <t>Rupesh Kumar Jha</t>
  </si>
  <si>
    <t>VHC/26-27/81</t>
  </si>
  <si>
    <t>Sagar Sharma</t>
  </si>
  <si>
    <t>Analyst - AR</t>
  </si>
  <si>
    <t>Sarthak Sharma</t>
  </si>
  <si>
    <t>16.04.26</t>
  </si>
  <si>
    <t>Sourav Madhwan</t>
  </si>
  <si>
    <t>22.05.26</t>
  </si>
  <si>
    <t>VHC/26-27/43</t>
  </si>
  <si>
    <t>3.6.2026</t>
  </si>
  <si>
    <t>Sunny Jaiswal</t>
  </si>
  <si>
    <t>Vineet Kumar</t>
  </si>
  <si>
    <t>01.04.26</t>
  </si>
  <si>
    <t>Shakti singh</t>
  </si>
  <si>
    <t>Administration</t>
  </si>
  <si>
    <t>17,50,000</t>
  </si>
  <si>
    <t>VHCPL/26-27/40</t>
  </si>
  <si>
    <t>1,40,000</t>
  </si>
  <si>
    <t>14.7.2026</t>
  </si>
  <si>
    <t>Shankar Ubbara</t>
  </si>
  <si>
    <t>Manager – Accounts &amp; Finance</t>
  </si>
  <si>
    <t>Chitradurga</t>
  </si>
  <si>
    <t>VHCPL/26-27/55</t>
  </si>
  <si>
    <t>2,08,000</t>
  </si>
  <si>
    <t>MG Motor</t>
  </si>
  <si>
    <t>Gaurav Solanki</t>
  </si>
  <si>
    <t>Engineer</t>
  </si>
  <si>
    <t>4,50,008</t>
  </si>
  <si>
    <t>VHCPL/26-27/41</t>
  </si>
  <si>
    <t>20.7.2026</t>
  </si>
  <si>
    <t>Rohan Kumar</t>
  </si>
  <si>
    <t>Bhageerath Mehto</t>
  </si>
  <si>
    <t>Admin - Lead</t>
  </si>
  <si>
    <t>03.04.26</t>
  </si>
  <si>
    <t>Sibten Razha</t>
  </si>
  <si>
    <t>VHC/26-27/51</t>
  </si>
  <si>
    <t>Vaishali Mudgal</t>
  </si>
  <si>
    <t>Receptionist</t>
  </si>
  <si>
    <t>Sudip Roy</t>
  </si>
  <si>
    <t>6,00,009</t>
  </si>
  <si>
    <t>VHCPL/26-27/74</t>
  </si>
  <si>
    <t>Annesha Das</t>
  </si>
  <si>
    <t>TM Parts</t>
  </si>
  <si>
    <t>Kolkata</t>
  </si>
  <si>
    <t>Arun Narayan</t>
  </si>
  <si>
    <t>TM Sales</t>
  </si>
  <si>
    <t>1,01,154.94</t>
  </si>
  <si>
    <t>Aswathy K</t>
  </si>
  <si>
    <t>Biswan Behera</t>
  </si>
  <si>
    <t>Indore</t>
  </si>
  <si>
    <t>Jayesh Singh Rathore</t>
  </si>
  <si>
    <t>TM Parts - Sales</t>
  </si>
  <si>
    <t>Bhopal</t>
  </si>
  <si>
    <t>Pawankumar Kishor Rahangdale</t>
  </si>
  <si>
    <t>Nagpur</t>
  </si>
  <si>
    <t>Umang Goyal</t>
  </si>
  <si>
    <t>Jaipur</t>
  </si>
  <si>
    <t>Abhishek Singh</t>
  </si>
  <si>
    <t>05.05.26</t>
  </si>
  <si>
    <t>VHC/26-27/32</t>
  </si>
  <si>
    <t>15.05.2026</t>
  </si>
  <si>
    <t>Anil</t>
  </si>
  <si>
    <t>Account Payable</t>
  </si>
  <si>
    <t>Kashish Garg</t>
  </si>
  <si>
    <t>Kumund Ranjan</t>
  </si>
  <si>
    <t>15.04.26</t>
  </si>
  <si>
    <t>Md Danish</t>
  </si>
  <si>
    <t>Account Receivable</t>
  </si>
  <si>
    <t>Mohit Sharma</t>
  </si>
  <si>
    <t>Sr Analyst - AR</t>
  </si>
  <si>
    <t>Nitesh Singh</t>
  </si>
  <si>
    <t>Pankaj Sharma</t>
  </si>
  <si>
    <t>Sr Analyst - R2R</t>
  </si>
  <si>
    <t>Prakash Chandra</t>
  </si>
  <si>
    <t>Pramod Kumar Singh</t>
  </si>
  <si>
    <t>TL- AR</t>
  </si>
  <si>
    <t>18.05.26</t>
  </si>
  <si>
    <t>Pritam Singh</t>
  </si>
  <si>
    <t>Sr Analyst-AR</t>
  </si>
  <si>
    <t>Rahul Verma</t>
  </si>
  <si>
    <t>Analyst-AR</t>
  </si>
  <si>
    <t>Rohit Chaudhary</t>
  </si>
  <si>
    <t>Sanket Jain</t>
  </si>
  <si>
    <t>06.04.26</t>
  </si>
  <si>
    <t>Siddharth Sain</t>
  </si>
  <si>
    <t>Suraj Kumar</t>
  </si>
  <si>
    <t>5,00,004</t>
  </si>
  <si>
    <t>Vijay Porwal</t>
  </si>
  <si>
    <t>AR</t>
  </si>
  <si>
    <t>VHC/26-27/48</t>
  </si>
  <si>
    <t>Vikas Yadav</t>
  </si>
  <si>
    <t>Vinay Kumar</t>
  </si>
  <si>
    <t>Sr Analyst</t>
  </si>
  <si>
    <t>01.08.26</t>
  </si>
  <si>
    <t>9,57,996</t>
  </si>
  <si>
    <t>VHC/26-27/84</t>
  </si>
  <si>
    <t>18.8.2026</t>
  </si>
  <si>
    <t>B Niranjan</t>
  </si>
  <si>
    <t>Manager - Procurement</t>
  </si>
  <si>
    <t>23.02.26</t>
  </si>
  <si>
    <t>Jitesh Narayan Mishra</t>
  </si>
  <si>
    <t>Civil Engineer</t>
  </si>
  <si>
    <t>VHCPL/26-27/24</t>
  </si>
  <si>
    <t>03.06.2026</t>
  </si>
  <si>
    <t>Rahul Ashok Sanap</t>
  </si>
  <si>
    <t>Assistant Manager - Procurement</t>
  </si>
  <si>
    <t>24.02.26</t>
  </si>
  <si>
    <t>Adwiti Singh</t>
  </si>
  <si>
    <t>Production - Body Shop</t>
  </si>
  <si>
    <t>VHCPL/26-27/26</t>
  </si>
  <si>
    <t>8.6.2026</t>
  </si>
  <si>
    <t>Rishabh Kumar Namdeo</t>
  </si>
  <si>
    <t>QA</t>
  </si>
  <si>
    <t>Sahil Rana</t>
  </si>
  <si>
    <t>Quality Engineering</t>
  </si>
  <si>
    <t>VHCPL/26-27/35</t>
  </si>
  <si>
    <t>6.7.2026</t>
  </si>
  <si>
    <t>Vishal Kumar</t>
  </si>
  <si>
    <t>Engineer- SQE</t>
  </si>
  <si>
    <t>VHCPL/26-27/10</t>
  </si>
  <si>
    <t>Omnitech</t>
  </si>
  <si>
    <t>Hirenkumar A Shah</t>
  </si>
  <si>
    <t>General Manager – PPC &amp; SIOP</t>
  </si>
  <si>
    <t>Rajkot</t>
  </si>
  <si>
    <t>43,57,520</t>
  </si>
  <si>
    <t>SPI/26-27/03</t>
  </si>
  <si>
    <t>5,22,902.40</t>
  </si>
  <si>
    <t>Prathamesh Pawar</t>
  </si>
  <si>
    <t>Engineer - Strength Analysis</t>
  </si>
  <si>
    <t>VHCPL/25-26/110</t>
  </si>
  <si>
    <t>06.03.2026</t>
  </si>
  <si>
    <t>Defsys</t>
  </si>
  <si>
    <t>Ravi Prakash</t>
  </si>
  <si>
    <t>Technician/Sr Technician (Structural Assembly)</t>
  </si>
  <si>
    <t>VHC/25-26/146</t>
  </si>
  <si>
    <t>Vishal Yadav</t>
  </si>
  <si>
    <t>Panasonic</t>
  </si>
  <si>
    <t>Pradeep Kumar Sharma</t>
  </si>
  <si>
    <t>Deputy Manager -Software Tester</t>
  </si>
  <si>
    <t>20.02.26</t>
  </si>
  <si>
    <t>VHC /25-26/145</t>
  </si>
  <si>
    <t>Arighna De</t>
  </si>
  <si>
    <t>Manager - Parts Operations</t>
  </si>
  <si>
    <t>16.02.26</t>
  </si>
  <si>
    <t>Bijay Kumar Das</t>
  </si>
  <si>
    <t>Deepak Kumar</t>
  </si>
  <si>
    <t>8.4.26</t>
  </si>
  <si>
    <t>Dev Baisla</t>
  </si>
  <si>
    <t>Gaurav Yadav</t>
  </si>
  <si>
    <t>Vishal Sharma</t>
  </si>
  <si>
    <t>01.05.26</t>
  </si>
  <si>
    <t>Gita Sharma</t>
  </si>
  <si>
    <t>Deputy Manager - HR</t>
  </si>
  <si>
    <t>Igatpuri</t>
  </si>
  <si>
    <t>VHCPL/26-27/19</t>
  </si>
  <si>
    <t>Kansai Nerolac</t>
  </si>
  <si>
    <t>Mohd Faizan Alvi</t>
  </si>
  <si>
    <t>Assistant Manager-HR</t>
  </si>
  <si>
    <t>VHCPL/26-27/56</t>
  </si>
  <si>
    <t>14.8.2026</t>
  </si>
  <si>
    <t>pp</t>
  </si>
  <si>
    <t>Niranjan Gupta</t>
  </si>
  <si>
    <t>Sr. Officer Technical Services</t>
  </si>
  <si>
    <t>27.03.26</t>
  </si>
  <si>
    <t>VHCPL/26-27/05</t>
  </si>
  <si>
    <t>Tufropes Pvt. Ltd.</t>
  </si>
  <si>
    <t>Rajkamal Kumar</t>
  </si>
  <si>
    <t>Senior Executive - Sales Domestic</t>
  </si>
  <si>
    <t>Ranchi</t>
  </si>
  <si>
    <t>VHCPL/26-27/21</t>
  </si>
  <si>
    <t>01.06.2026</t>
  </si>
  <si>
    <t>Yash Arora</t>
  </si>
  <si>
    <t>ER- E5</t>
  </si>
  <si>
    <t>Alok Kumar</t>
  </si>
  <si>
    <t>Team Member- HR Operations</t>
  </si>
  <si>
    <t>Baban Majumder</t>
  </si>
  <si>
    <t>AM- Service</t>
  </si>
  <si>
    <t>VHC/26-27/55</t>
  </si>
  <si>
    <t>1,09,956</t>
  </si>
  <si>
    <t>Hemant Kumar Jha</t>
  </si>
  <si>
    <t>Pre sales</t>
  </si>
  <si>
    <t>20.05.26</t>
  </si>
  <si>
    <t>Narasimman</t>
  </si>
  <si>
    <t>VHC/26-27/56</t>
  </si>
  <si>
    <t>Anshul bhardwaj</t>
  </si>
  <si>
    <t>Atul Khanna</t>
  </si>
  <si>
    <t>Sr. Analyst-AR</t>
  </si>
  <si>
    <t> 1183000</t>
  </si>
  <si>
    <t>Deepanshu Jain</t>
  </si>
  <si>
    <t>Kuldeep Singh Chouhan</t>
  </si>
  <si>
    <t>Parvesh Tripathi</t>
  </si>
  <si>
    <t>Pinky Rayal</t>
  </si>
  <si>
    <t>Saurabh Verma</t>
  </si>
  <si>
    <t>3.6.2023</t>
  </si>
  <si>
    <t>Shri Krishan</t>
  </si>
  <si>
    <t>TL-AR</t>
  </si>
  <si>
    <t>Shubham Goyal</t>
  </si>
  <si>
    <t>Sunny Kumar</t>
  </si>
  <si>
    <t>Bhuvan M R</t>
  </si>
  <si>
    <t>TSM</t>
  </si>
  <si>
    <t>Biplove Roy</t>
  </si>
  <si>
    <t>Territory Manager – Customer Experience</t>
  </si>
  <si>
    <t>Lucknow</t>
  </si>
  <si>
    <t>Gokul Pillai</t>
  </si>
  <si>
    <t>VHCPL/26-27/71</t>
  </si>
  <si>
    <t>1,28,891.75</t>
  </si>
  <si>
    <t>Suman Sharma</t>
  </si>
  <si>
    <t>E5</t>
  </si>
  <si>
    <t>Uday Anand</t>
  </si>
  <si>
    <t>VHCPL/26-27/04</t>
  </si>
  <si>
    <t>21.04.2026</t>
  </si>
  <si>
    <t>Kuldeep Kumar</t>
  </si>
  <si>
    <t>Sr. Analyst - AR</t>
  </si>
  <si>
    <t>25.05.26</t>
  </si>
  <si>
    <t>Sandeep Kumar Jangir</t>
  </si>
  <si>
    <t>Sr. Analyst-R2R</t>
  </si>
  <si>
    <t>Binod Kumar Prasad</t>
  </si>
  <si>
    <t>AM - Accounts</t>
  </si>
  <si>
    <t>Salbani</t>
  </si>
  <si>
    <t>VHCPL/26-27/11</t>
  </si>
  <si>
    <t>06.05.2026</t>
  </si>
  <si>
    <t>Sanjaya Kumar Mahala</t>
  </si>
  <si>
    <t>Senior Officer - Accounts</t>
  </si>
  <si>
    <t>Rajat Sharma</t>
  </si>
  <si>
    <t>Senior Officer - Indirect Procurement</t>
  </si>
  <si>
    <t>VHCPL/25-26/109</t>
  </si>
  <si>
    <t>Shubham Gupta</t>
  </si>
  <si>
    <t>SCM - Warehouse</t>
  </si>
  <si>
    <t>Aaryan Tamrakar</t>
  </si>
  <si>
    <t>Engineer - Body Shop</t>
  </si>
  <si>
    <t>14.09.26</t>
  </si>
  <si>
    <t>VHCPL/26-27/76</t>
  </si>
  <si>
    <t>14.9.2026</t>
  </si>
  <si>
    <t>Rajnish Thakur</t>
  </si>
  <si>
    <t>VHCPL/26-27/57</t>
  </si>
  <si>
    <t>Rohit Pal</t>
  </si>
  <si>
    <t>Service Engineer</t>
  </si>
  <si>
    <t>05.03.26</t>
  </si>
  <si>
    <t>VHC/25-26/151</t>
  </si>
  <si>
    <t>18.03.2026</t>
  </si>
  <si>
    <t>Mitsubishi Electric</t>
  </si>
  <si>
    <t>Akash Pathak</t>
  </si>
  <si>
    <t>Engineer - Project Sales</t>
  </si>
  <si>
    <t>Ghaziabad</t>
  </si>
  <si>
    <t>19.01.26</t>
  </si>
  <si>
    <t>VHC/25-26/119</t>
  </si>
  <si>
    <t>29.01.2026</t>
  </si>
  <si>
    <t>Tufnets Private Limited</t>
  </si>
  <si>
    <t>Sharad Sharma</t>
  </si>
  <si>
    <t>Pithampur</t>
  </si>
  <si>
    <t>VHCPL/26-27/02</t>
  </si>
  <si>
    <t>09.04.2026</t>
  </si>
  <si>
    <t>Sahil Maheshwari</t>
  </si>
  <si>
    <t>Manager - Accounts</t>
  </si>
  <si>
    <t>VHCPL/26-27/03</t>
  </si>
  <si>
    <t>Akhil Goel</t>
  </si>
  <si>
    <t>E5-Buyer-EV</t>
  </si>
  <si>
    <t>VHCPL/26-27/47</t>
  </si>
  <si>
    <t>1,34,854.87</t>
  </si>
  <si>
    <t>Supply Chain Management</t>
  </si>
  <si>
    <t>Haridwar</t>
  </si>
  <si>
    <t>VHCPL/26-27/73</t>
  </si>
  <si>
    <t>1,04,953.33</t>
  </si>
  <si>
    <t>Jitendra Kumar tiwari</t>
  </si>
  <si>
    <t>Buyer-EV</t>
  </si>
  <si>
    <t>Rajan Tiwari</t>
  </si>
  <si>
    <t>Buyer-Engine Proprietor</t>
  </si>
  <si>
    <t>1,07,192.27</t>
  </si>
  <si>
    <t>Hero MotoCorp</t>
  </si>
  <si>
    <t>Vikas Barkale</t>
  </si>
  <si>
    <t>E4 - Buyer - Supply Chain</t>
  </si>
  <si>
    <t>Hemant</t>
  </si>
  <si>
    <t>Kiran Yadav</t>
  </si>
  <si>
    <t>Manu</t>
  </si>
  <si>
    <t>10.04.26</t>
  </si>
  <si>
    <t>Mukesh Thaakur</t>
  </si>
  <si>
    <t>Sr Analyst AR</t>
  </si>
  <si>
    <t>06.05.26</t>
  </si>
  <si>
    <t>FVHC/26-27/39</t>
  </si>
  <si>
    <t>Payment Status needs review</t>
  </si>
  <si>
    <t>Neeraj Singhal</t>
  </si>
  <si>
    <t>Accounts Receivable</t>
  </si>
  <si>
    <t>Shubham Garg</t>
  </si>
  <si>
    <t>Vipul Vasant Bhoy</t>
  </si>
  <si>
    <t>Company Secretary</t>
  </si>
  <si>
    <t>VHCPL/26-27/25</t>
  </si>
  <si>
    <t>4.6.2026.</t>
  </si>
  <si>
    <t>Shende Suraj Balu</t>
  </si>
  <si>
    <t>Strength Analysis - Engineer</t>
  </si>
  <si>
    <t>VHCPL/25-26/101</t>
  </si>
  <si>
    <t>Viralkumar Patel</t>
  </si>
  <si>
    <t>Manager Crash Analysis</t>
  </si>
  <si>
    <t>VHCPL/26-27/16</t>
  </si>
  <si>
    <t>Ajay Kumar Biswas</t>
  </si>
  <si>
    <t>Technician( Electronics) - Production</t>
  </si>
  <si>
    <t>25.03.26</t>
  </si>
  <si>
    <t>VHC/26-27/64</t>
  </si>
  <si>
    <t>23.7.2026</t>
  </si>
  <si>
    <t>Recruiter blank; grouped as Unassigned / Blank Recruiter</t>
  </si>
  <si>
    <t>Alok Singh</t>
  </si>
  <si>
    <t>Junior Engineer</t>
  </si>
  <si>
    <t>VHC/26-27/65</t>
  </si>
  <si>
    <t>Parwinder Singh</t>
  </si>
  <si>
    <t>VHC/25-26/165</t>
  </si>
  <si>
    <t>Harpreet Singh</t>
  </si>
  <si>
    <t>1,15,220.28</t>
  </si>
  <si>
    <t>Pankaj Vashisth</t>
  </si>
  <si>
    <t>1,19,665.56</t>
  </si>
  <si>
    <t>Khushhal Agarwal</t>
  </si>
  <si>
    <t>Direct Taxation</t>
  </si>
  <si>
    <t>08.07.26</t>
  </si>
  <si>
    <t>1,52,000</t>
  </si>
  <si>
    <t>Naresh Singh</t>
  </si>
  <si>
    <t>General Assembly Engineer</t>
  </si>
  <si>
    <t>Malakkaran Aneesh Appukuttan</t>
  </si>
  <si>
    <t>Assistant Manager</t>
  </si>
  <si>
    <t>15.01.26</t>
  </si>
  <si>
    <t>VHC/25-26/143</t>
  </si>
  <si>
    <t>Ekansh Agarwal</t>
  </si>
  <si>
    <t>Sr. Analyst AP MDM</t>
  </si>
  <si>
    <t>22.04.26</t>
  </si>
  <si>
    <t>Krishan Vishwakarma</t>
  </si>
  <si>
    <t> Payroll Lead</t>
  </si>
  <si>
    <t>Ravi</t>
  </si>
  <si>
    <t>Payroll Lead</t>
  </si>
  <si>
    <t>01.07.26</t>
  </si>
  <si>
    <t>VHC/26-27/63</t>
  </si>
  <si>
    <t>2,24,910</t>
  </si>
  <si>
    <t>17.7.2026</t>
  </si>
  <si>
    <t>Azad R Maurya</t>
  </si>
  <si>
    <t>13.01.26</t>
  </si>
  <si>
    <t>VHCPL/25-26/95</t>
  </si>
  <si>
    <t>28.01.2026</t>
  </si>
  <si>
    <t>Jaimin Jani</t>
  </si>
  <si>
    <t>DM</t>
  </si>
  <si>
    <t>VHCPL/25-26/105</t>
  </si>
  <si>
    <t>Jayesh Yadav</t>
  </si>
  <si>
    <t>Insurance</t>
  </si>
  <si>
    <t>26,00,000</t>
  </si>
  <si>
    <t>VHCPL/26-27/37</t>
  </si>
  <si>
    <t>Pranav Rao</t>
  </si>
  <si>
    <t>Manager - BD RE Sol.</t>
  </si>
  <si>
    <t>VHCPL/26-27/01</t>
  </si>
  <si>
    <t>07.04.2026</t>
  </si>
  <si>
    <t>Robin Kumar Sinha</t>
  </si>
  <si>
    <t>DM - HR Generalist</t>
  </si>
  <si>
    <t>Durgapur</t>
  </si>
  <si>
    <t>Sumedh</t>
  </si>
  <si>
    <t>Head Security</t>
  </si>
  <si>
    <t>Ratnagiri</t>
  </si>
  <si>
    <t>37,50,000</t>
  </si>
  <si>
    <t>3,75,000</t>
  </si>
  <si>
    <t>Lovish Jones</t>
  </si>
  <si>
    <t>Executive - Customer Support</t>
  </si>
  <si>
    <t>VHC/26-27/11</t>
  </si>
  <si>
    <t>Vishva Sharma</t>
  </si>
  <si>
    <t>AM - Procurement</t>
  </si>
  <si>
    <t>VHC/25-26/153</t>
  </si>
  <si>
    <t>JK Paints</t>
  </si>
  <si>
    <t>Saurav Sondhi</t>
  </si>
  <si>
    <t>ASM</t>
  </si>
  <si>
    <t>Karnal</t>
  </si>
  <si>
    <t>1.6.26</t>
  </si>
  <si>
    <t>VHC/26-27/44</t>
  </si>
  <si>
    <t>1,43,500.56</t>
  </si>
  <si>
    <t>JK  Paints</t>
  </si>
  <si>
    <t>Gurmeet Singh</t>
  </si>
  <si>
    <t>Production</t>
  </si>
  <si>
    <t>Bhiwadi</t>
  </si>
  <si>
    <t>22,50,000</t>
  </si>
  <si>
    <t>VHC/26-27/90</t>
  </si>
  <si>
    <t>1,57,500</t>
  </si>
  <si>
    <t>1.9.2026</t>
  </si>
  <si>
    <t>JK Cement</t>
  </si>
  <si>
    <t>Brahma Dutt</t>
  </si>
  <si>
    <t>DGM Admin</t>
  </si>
  <si>
    <t>36,99,996</t>
  </si>
  <si>
    <t>VHC/26-27/85</t>
  </si>
  <si>
    <t>3,08,209.66</t>
  </si>
  <si>
    <t>Grey Cement</t>
  </si>
  <si>
    <t>Ankit Agarwal</t>
  </si>
  <si>
    <t>Mgr</t>
  </si>
  <si>
    <t>Bhatinda</t>
  </si>
  <si>
    <t>VHC/25-26/140</t>
  </si>
  <si>
    <t>25.02.2026</t>
  </si>
  <si>
    <t>Naina Saini</t>
  </si>
  <si>
    <t>DM-HRBP</t>
  </si>
  <si>
    <t>1,90,033.55</t>
  </si>
  <si>
    <t>JCB India</t>
  </si>
  <si>
    <t>Jyoti Mantoo</t>
  </si>
  <si>
    <t>SM Elect Purchase</t>
  </si>
  <si>
    <t>Ballabgarh</t>
  </si>
  <si>
    <t>VHCPL/25-26/115</t>
  </si>
  <si>
    <t>17.03.26</t>
  </si>
  <si>
    <t>Aman Hussain</t>
  </si>
  <si>
    <t>Talent Management</t>
  </si>
  <si>
    <t>VHC/26-27/70</t>
  </si>
  <si>
    <t>Kapil Sharma</t>
  </si>
  <si>
    <t>Manager IT</t>
  </si>
  <si>
    <t>1,61,000.28</t>
  </si>
  <si>
    <t>Manish Shukla</t>
  </si>
  <si>
    <t>Plant Head HR</t>
  </si>
  <si>
    <t>VHC/25-26/125</t>
  </si>
  <si>
    <t>Billing Amount blank</t>
  </si>
  <si>
    <t>Ravi Singh</t>
  </si>
  <si>
    <t>AM-Logistics</t>
  </si>
  <si>
    <t>Jabalpur</t>
  </si>
  <si>
    <t>VHC/26-27/50</t>
  </si>
  <si>
    <t>27.5.2026</t>
  </si>
  <si>
    <t>JK Paints &amp; Putty</t>
  </si>
  <si>
    <t>Prabhdeep singh</t>
  </si>
  <si>
    <t>Dy Manager PP</t>
  </si>
  <si>
    <t>VHC/25-26/127</t>
  </si>
  <si>
    <t>02.02.2026</t>
  </si>
  <si>
    <t>JK Profix</t>
  </si>
  <si>
    <t>Aakash Kumar</t>
  </si>
  <si>
    <t>CC</t>
  </si>
  <si>
    <t>VHC/25-26/139</t>
  </si>
  <si>
    <t>Prerna Sharma</t>
  </si>
  <si>
    <t>CO</t>
  </si>
  <si>
    <t>11,00,002</t>
  </si>
  <si>
    <t>VHC/26-27/62</t>
  </si>
  <si>
    <t>JK CO</t>
  </si>
  <si>
    <t>Sunidhi Manral</t>
  </si>
  <si>
    <t>Sr. Officer Category Procurement</t>
  </si>
  <si>
    <t>Sanskriti Goyal</t>
  </si>
  <si>
    <t>FA&amp;P</t>
  </si>
  <si>
    <t>COBO India</t>
  </si>
  <si>
    <t>Abhishek Mishra</t>
  </si>
  <si>
    <t>Sr Executive</t>
  </si>
  <si>
    <t>15.6.26</t>
  </si>
  <si>
    <t>VHCPL/26-27/32</t>
  </si>
  <si>
    <t>Akarsh Singh</t>
  </si>
  <si>
    <t>DMO</t>
  </si>
  <si>
    <t>Faizabad</t>
  </si>
  <si>
    <t>VHC/26-27/83</t>
  </si>
  <si>
    <t>Ashish Prajapati</t>
  </si>
  <si>
    <t>Site Executive</t>
  </si>
  <si>
    <t>Rohtak</t>
  </si>
  <si>
    <t>22.5.26</t>
  </si>
  <si>
    <t>VHC/26-27/60</t>
  </si>
  <si>
    <t>Deepak Muadillar</t>
  </si>
  <si>
    <t>SME</t>
  </si>
  <si>
    <t>Koppal</t>
  </si>
  <si>
    <t>Gagan Sachan</t>
  </si>
  <si>
    <t>Zonal Branding</t>
  </si>
  <si>
    <t>Goshal Kumar</t>
  </si>
  <si>
    <t>Barnala</t>
  </si>
  <si>
    <t>VHC/25-26/162</t>
  </si>
  <si>
    <t>25.03.2026</t>
  </si>
  <si>
    <t>Kirtiman Sharma</t>
  </si>
  <si>
    <t>Sirsa</t>
  </si>
  <si>
    <t>Nikhil Pandya</t>
  </si>
  <si>
    <t>Surat</t>
  </si>
  <si>
    <t>VHC/25-26/126</t>
  </si>
  <si>
    <t>Prashant Kumar Srivastava</t>
  </si>
  <si>
    <t>Senior Officer Loyalty</t>
  </si>
  <si>
    <t>9,75,000</t>
  </si>
  <si>
    <t>VHC/26-27/40</t>
  </si>
  <si>
    <t>Deepanshu Kushwah</t>
  </si>
  <si>
    <t>Durg</t>
  </si>
  <si>
    <t>VHC/25-26/160</t>
  </si>
  <si>
    <t>Shashank Mishra</t>
  </si>
  <si>
    <t>VHC/25-26/164</t>
  </si>
  <si>
    <t>27.03.2026</t>
  </si>
  <si>
    <t>Mohit Ranka</t>
  </si>
  <si>
    <t>ASM-KAM</t>
  </si>
  <si>
    <t>Deepak Soni</t>
  </si>
  <si>
    <t>CRM</t>
  </si>
  <si>
    <t>VHC/26-27/53</t>
  </si>
  <si>
    <t>Faizal Raza</t>
  </si>
  <si>
    <t>South East Delhi</t>
  </si>
  <si>
    <t>VHC/25-26/128</t>
  </si>
  <si>
    <t>Pawan Puri</t>
  </si>
  <si>
    <t>Ambala</t>
  </si>
  <si>
    <t>VHC/26-27/94</t>
  </si>
  <si>
    <t>JK Tylo</t>
  </si>
  <si>
    <t>Khaleel Khan</t>
  </si>
  <si>
    <t>BDO</t>
  </si>
  <si>
    <t>Praveen Kumar B</t>
  </si>
  <si>
    <t>Tanmoy Saha</t>
  </si>
  <si>
    <t>Dhruval Vadiya</t>
  </si>
  <si>
    <t>Technical Service Exe</t>
  </si>
  <si>
    <t>Aslali</t>
  </si>
  <si>
    <t>VHCPL/26-27/69</t>
  </si>
  <si>
    <t>1,18,333.48</t>
  </si>
  <si>
    <t>Tylo</t>
  </si>
  <si>
    <t>Khaleel Saitu</t>
  </si>
  <si>
    <t>Senior Officer</t>
  </si>
  <si>
    <t>Ajay Singh</t>
  </si>
  <si>
    <t>Senior Engineer</t>
  </si>
  <si>
    <t>29.5.26</t>
  </si>
  <si>
    <t>COCO</t>
  </si>
  <si>
    <t>Prarthan Rambhapurwala</t>
  </si>
  <si>
    <t>Service Head</t>
  </si>
  <si>
    <t>Gujarat</t>
  </si>
  <si>
    <t>VHC/25-26/156</t>
  </si>
  <si>
    <t>Mohit Mishra</t>
  </si>
  <si>
    <t>Elect Maint</t>
  </si>
  <si>
    <t>VHCPL/25-26/103</t>
  </si>
  <si>
    <t>16.02.2026</t>
  </si>
  <si>
    <t>Amit kumar Gupta</t>
  </si>
  <si>
    <t>DM Secondary Logistics</t>
  </si>
  <si>
    <t>Varanasi</t>
  </si>
  <si>
    <t>VHC/26-27/25</t>
  </si>
  <si>
    <t>Ganesh Kumar</t>
  </si>
  <si>
    <t>Sr. Executive Horticulture</t>
  </si>
  <si>
    <t>Jaisalmer</t>
  </si>
  <si>
    <t>COBO</t>
  </si>
  <si>
    <t>Hardik Vats</t>
  </si>
  <si>
    <t>Junior Engineer – Product Development</t>
  </si>
  <si>
    <t>VHCPL/26-27/54</t>
  </si>
  <si>
    <t>jk</t>
  </si>
  <si>
    <t>Krishan Jangra</t>
  </si>
  <si>
    <t>HISAR</t>
  </si>
  <si>
    <t>Abhishek Chauhan</t>
  </si>
  <si>
    <t>SE</t>
  </si>
  <si>
    <t>Mohali</t>
  </si>
  <si>
    <t>17.6.2026</t>
  </si>
  <si>
    <t>Anirudha Yadav</t>
  </si>
  <si>
    <t>Territory Lead - Non Trade</t>
  </si>
  <si>
    <t>Hans Raj</t>
  </si>
  <si>
    <t>Solan</t>
  </si>
  <si>
    <t>VHC/26-27/26</t>
  </si>
  <si>
    <t>Kashish Mishra</t>
  </si>
  <si>
    <t>CS Intern</t>
  </si>
  <si>
    <t>AM – HR &amp; IR</t>
  </si>
  <si>
    <t>Jharli</t>
  </si>
  <si>
    <t>Lokendra Meena</t>
  </si>
  <si>
    <t>Rajasmand</t>
  </si>
  <si>
    <t>16.6.2026</t>
  </si>
  <si>
    <t>Narendra Kumar Sharma</t>
  </si>
  <si>
    <t>Barmer</t>
  </si>
  <si>
    <t>7,80,000</t>
  </si>
  <si>
    <t>Rajsinh M. Khengar</t>
  </si>
  <si>
    <t>Riya Sinha</t>
  </si>
  <si>
    <t>Shubham Chaudhary</t>
  </si>
  <si>
    <t>Rupnagar</t>
  </si>
  <si>
    <t>Vishal Malviya</t>
  </si>
  <si>
    <t>Pali</t>
  </si>
  <si>
    <t>8,25,000</t>
  </si>
  <si>
    <t>Prince Choudhary</t>
  </si>
  <si>
    <t>Jaunpur</t>
  </si>
  <si>
    <t>Ankit Kumar</t>
  </si>
  <si>
    <t>Pradyuman Parashar</t>
  </si>
  <si>
    <t>ZCM</t>
  </si>
  <si>
    <t>VHC/25-26/161</t>
  </si>
  <si>
    <t>Rahul Kumar Shrivastava</t>
  </si>
  <si>
    <t>24.02.2026</t>
  </si>
  <si>
    <t>JK Tilemaxx</t>
  </si>
  <si>
    <t>Amit Dey</t>
  </si>
  <si>
    <t>ASM - KAM</t>
  </si>
  <si>
    <t>VHC/25-26/137</t>
  </si>
  <si>
    <t>Krishna Gupta</t>
  </si>
  <si>
    <t>ME</t>
  </si>
  <si>
    <t>West Line Mumbai</t>
  </si>
  <si>
    <t>VHC/26-27/24</t>
  </si>
  <si>
    <t>Shubam Gupta</t>
  </si>
  <si>
    <t>Jammu</t>
  </si>
  <si>
    <t>Grey</t>
  </si>
  <si>
    <t>Ankush</t>
  </si>
  <si>
    <t>Jhajjar</t>
  </si>
  <si>
    <t>Shubham Jangra</t>
  </si>
  <si>
    <t>4.6.26</t>
  </si>
  <si>
    <t>VHC/26-27/49</t>
  </si>
  <si>
    <t>Vikash Chauhan</t>
  </si>
  <si>
    <t>Saharanpur</t>
  </si>
  <si>
    <t>26.6.26</t>
  </si>
  <si>
    <t>Amber Shamsh</t>
  </si>
  <si>
    <t>Jitender Lohan</t>
  </si>
  <si>
    <t>Hissar</t>
  </si>
  <si>
    <t>VHC/25-26/138</t>
  </si>
  <si>
    <t>Rahul</t>
  </si>
  <si>
    <t>Satyam Singh</t>
  </si>
  <si>
    <t>Rotak</t>
  </si>
  <si>
    <t>JK Grey Cement</t>
  </si>
  <si>
    <t>Dinesh Kumar  </t>
  </si>
  <si>
    <t>Darbhanga</t>
  </si>
  <si>
    <t>8,20,008</t>
  </si>
  <si>
    <t>Kamal Phour</t>
  </si>
  <si>
    <t>5,45,000</t>
  </si>
  <si>
    <t>Nikhil Kumar</t>
  </si>
  <si>
    <t>Gopalganj</t>
  </si>
  <si>
    <t>5,61,000</t>
  </si>
  <si>
    <t>Abhishek Rathor</t>
  </si>
  <si>
    <t>Ratlam (MP)</t>
  </si>
  <si>
    <t>Prabhanshu Pandey</t>
  </si>
  <si>
    <t>Sahdole (MP)</t>
  </si>
  <si>
    <t>Vijay Shankar Swami</t>
  </si>
  <si>
    <t>Sr. ME</t>
  </si>
  <si>
    <t>Bikaner</t>
  </si>
  <si>
    <t>Blue Energy</t>
  </si>
  <si>
    <t>Vamsinath Reddy</t>
  </si>
  <si>
    <t>Sr Design Engineer</t>
  </si>
  <si>
    <t>6,50,000</t>
  </si>
  <si>
    <t>VHCPL/26-27/60</t>
  </si>
  <si>
    <t>20.8.2026</t>
  </si>
  <si>
    <t>Rohit Rana</t>
  </si>
  <si>
    <t>Senior Marketing Officer</t>
  </si>
  <si>
    <t>Abhilasha Kumari</t>
  </si>
  <si>
    <t>Sr. Engineer</t>
  </si>
  <si>
    <t>VHCPL/26-27/33</t>
  </si>
  <si>
    <t>Durgawati</t>
  </si>
  <si>
    <t>Sr Engineer</t>
  </si>
  <si>
    <t>8,11,000</t>
  </si>
  <si>
    <t>Narsing Bailpattar</t>
  </si>
  <si>
    <t>Officer- Chemist</t>
  </si>
  <si>
    <t>Muddapur</t>
  </si>
  <si>
    <t>Shivam Sharma</t>
  </si>
  <si>
    <t>Mandi</t>
  </si>
  <si>
    <t>5,13,000</t>
  </si>
  <si>
    <t>Sukhvir Jangra</t>
  </si>
  <si>
    <t>5,72,004</t>
  </si>
  <si>
    <t>Vimal Kumar</t>
  </si>
  <si>
    <t>Senior Officer- Secondary Logistics</t>
  </si>
  <si>
    <t>Yashoju Prashanth</t>
  </si>
  <si>
    <t>Senior Marketing Executive</t>
  </si>
  <si>
    <t>Siddipet</t>
  </si>
  <si>
    <t>Abhishek Gupta</t>
  </si>
  <si>
    <t>Kanpur Dehat</t>
  </si>
  <si>
    <t>JK Super Cement</t>
  </si>
  <si>
    <t>Sambit Saurav Giri</t>
  </si>
  <si>
    <t>Enginee/ Sr. Engineer Mines Maintenance</t>
  </si>
  <si>
    <t>Nimbahera</t>
  </si>
  <si>
    <t>Subhraprakash Jena</t>
  </si>
  <si>
    <t>Deputy Manager</t>
  </si>
  <si>
    <t>Maya Patange</t>
  </si>
  <si>
    <t>VHCPL/26-27/77</t>
  </si>
  <si>
    <t>15.9.2026</t>
  </si>
  <si>
    <t>Manjunath B.S</t>
  </si>
  <si>
    <t>Davangere</t>
  </si>
  <si>
    <t>1,12,000.56</t>
  </si>
  <si>
    <t>Prakash Chaudhary</t>
  </si>
  <si>
    <t>Udaipur</t>
  </si>
  <si>
    <t>Rajeswar Gouda</t>
  </si>
  <si>
    <t>Rakesh Kumar Rana</t>
  </si>
  <si>
    <t>Shimla</t>
  </si>
  <si>
    <t>Ravi Raj</t>
  </si>
  <si>
    <t>Panna</t>
  </si>
  <si>
    <t>Mayank Thakur</t>
  </si>
  <si>
    <t>ME-SME</t>
  </si>
  <si>
    <t>Shanta Shukla</t>
  </si>
  <si>
    <t>Vignesh D</t>
  </si>
  <si>
    <t>Neeraj Kumar</t>
  </si>
  <si>
    <t>10.6.26</t>
  </si>
  <si>
    <t>Love Sharma</t>
  </si>
  <si>
    <t>Bathinda</t>
  </si>
  <si>
    <t>Anju Chaudhary</t>
  </si>
  <si>
    <t>Patna</t>
  </si>
  <si>
    <t>JCB Garment Factory</t>
  </si>
  <si>
    <t>Kuldeep Singh Rathore</t>
  </si>
  <si>
    <t>DM - Finance</t>
  </si>
  <si>
    <t>VHCPL/25-26/114</t>
  </si>
  <si>
    <t>Rajnish Mishra</t>
  </si>
  <si>
    <t>CA Deepanshu Bhargava</t>
  </si>
  <si>
    <t>AM</t>
  </si>
  <si>
    <t>Kartik Rajput</t>
  </si>
  <si>
    <t>Harda</t>
  </si>
  <si>
    <t>Sanjay Kumar Kumawat</t>
  </si>
  <si>
    <t>Malpura</t>
  </si>
  <si>
    <t>Shreya Mishra</t>
  </si>
  <si>
    <t>Bhumesh Bisen</t>
  </si>
  <si>
    <t>MEP</t>
  </si>
  <si>
    <t>Ajit Pandurang</t>
  </si>
  <si>
    <t>TSI</t>
  </si>
  <si>
    <t>Inderjeet Singh</t>
  </si>
  <si>
    <t>Unnao</t>
  </si>
  <si>
    <t>Kunal Kumar Jha</t>
  </si>
  <si>
    <t>Darbanga</t>
  </si>
  <si>
    <t>Kushal Sharma</t>
  </si>
  <si>
    <t>Samrala</t>
  </si>
  <si>
    <t>Manas Kumar</t>
  </si>
  <si>
    <t>Vishal Umbreja</t>
  </si>
  <si>
    <t>Site Exe</t>
  </si>
  <si>
    <t>Belgaum</t>
  </si>
  <si>
    <t>Vivek Kumar</t>
  </si>
  <si>
    <t>Fatehpur</t>
  </si>
  <si>
    <t>Vivek Raj</t>
  </si>
  <si>
    <t>Site Execurive</t>
  </si>
  <si>
    <t>Khagaria</t>
  </si>
  <si>
    <t>Rohit Jain</t>
  </si>
  <si>
    <t>ME/SME</t>
  </si>
  <si>
    <t>Gonda</t>
  </si>
  <si>
    <t>VHC/25-26/136</t>
  </si>
  <si>
    <t>Sharad Tiwari</t>
  </si>
  <si>
    <t>Anuj Singh</t>
  </si>
  <si>
    <t>Jhansi</t>
  </si>
  <si>
    <t>22.6.26</t>
  </si>
  <si>
    <t>Nadeem Mansuri</t>
  </si>
  <si>
    <t>Area Technical Manager</t>
  </si>
  <si>
    <t>Dhar</t>
  </si>
  <si>
    <t>Shivam Singh Tomar</t>
  </si>
  <si>
    <t>Guna</t>
  </si>
  <si>
    <t>Vimal Prakash</t>
  </si>
  <si>
    <t>Central Delhi</t>
  </si>
  <si>
    <t>5,24,160</t>
  </si>
  <si>
    <t>Nirbhay Singh</t>
  </si>
  <si>
    <t>VHC/25-26/129</t>
  </si>
  <si>
    <t>Shankara Gouda V Patil</t>
  </si>
  <si>
    <t>Officer</t>
  </si>
  <si>
    <t>Haveri</t>
  </si>
  <si>
    <t>6,50,004</t>
  </si>
  <si>
    <t>Dev Sharma</t>
  </si>
  <si>
    <t>Rohtak/Sirsa</t>
  </si>
  <si>
    <t>Shashank Shende</t>
  </si>
  <si>
    <t>Ravinder Sidhu</t>
  </si>
  <si>
    <t>Anchal Agrawal</t>
  </si>
  <si>
    <t>Sagar</t>
  </si>
  <si>
    <t>Bhupendra Singh</t>
  </si>
  <si>
    <t>Agra</t>
  </si>
  <si>
    <t>TVS</t>
  </si>
  <si>
    <t>Abhay Yadav</t>
  </si>
  <si>
    <t>Area Parts Manager</t>
  </si>
  <si>
    <t>VECV</t>
  </si>
  <si>
    <t>Anuj Pandey</t>
  </si>
  <si>
    <t>DM Project Maint</t>
  </si>
  <si>
    <t>Ujjain</t>
  </si>
  <si>
    <t>VHC/26-27/01</t>
  </si>
  <si>
    <t>Aman Mishra</t>
  </si>
  <si>
    <t>VHCPL/25-26/62</t>
  </si>
  <si>
    <t>31.8.2026</t>
  </si>
  <si>
    <t>Mohamad Saifulla Baig</t>
  </si>
  <si>
    <t>Territory Service Manager</t>
  </si>
  <si>
    <t>Gulbarga</t>
  </si>
  <si>
    <t>VHCPL/26-27/08</t>
  </si>
  <si>
    <t>30.04.2026</t>
  </si>
  <si>
    <t>Shubham Singh</t>
  </si>
  <si>
    <t>VHCPL/26-27/42</t>
  </si>
  <si>
    <t>Sreyash Kashyap</t>
  </si>
  <si>
    <t>Territory Sales Manager - 3w</t>
  </si>
  <si>
    <t>VHCPL/26-27/20</t>
  </si>
  <si>
    <t>31.05.2026</t>
  </si>
  <si>
    <t>Ullas HJ</t>
  </si>
  <si>
    <t>Anekal</t>
  </si>
  <si>
    <t>VHCPL/26-27/48</t>
  </si>
  <si>
    <t>Honda</t>
  </si>
  <si>
    <t>Sachin Panwar</t>
  </si>
  <si>
    <t>R&amp;D</t>
  </si>
  <si>
    <t>Manesar</t>
  </si>
  <si>
    <t>VHC/26-27/19</t>
  </si>
  <si>
    <t>29.04.2026</t>
  </si>
  <si>
    <t>JCB</t>
  </si>
  <si>
    <t>Abhinav</t>
  </si>
  <si>
    <t>SM HR BP</t>
  </si>
  <si>
    <t>VHCPL/26-27/09</t>
  </si>
  <si>
    <t>05.05.2026</t>
  </si>
  <si>
    <t>Amit Dhiman</t>
  </si>
  <si>
    <t>Plant Head</t>
  </si>
  <si>
    <t>VHC/26-27/91</t>
  </si>
  <si>
    <t>9,91,200</t>
  </si>
  <si>
    <t>Abhishek Rathod</t>
  </si>
  <si>
    <t>Engine Test Bed</t>
  </si>
  <si>
    <t>VHC/26-27/47</t>
  </si>
  <si>
    <t>Aryan Pande</t>
  </si>
  <si>
    <t>Procurement</t>
  </si>
  <si>
    <t>VHC/26-27/35</t>
  </si>
  <si>
    <t>21.05.2026</t>
  </si>
  <si>
    <t>Ayush Sharma</t>
  </si>
  <si>
    <t>SQA</t>
  </si>
  <si>
    <t>Nishanth</t>
  </si>
  <si>
    <t>Sourcing</t>
  </si>
  <si>
    <t>Nitin Kumar</t>
  </si>
  <si>
    <t>ME Machining</t>
  </si>
  <si>
    <t>Piyush</t>
  </si>
  <si>
    <t>Puneet Kumar</t>
  </si>
  <si>
    <t>Maintenenace</t>
  </si>
  <si>
    <t>VHC/26-27/82</t>
  </si>
  <si>
    <t>Sumit Pandey</t>
  </si>
  <si>
    <t>Vinit Tyagi</t>
  </si>
  <si>
    <t>Project HT</t>
  </si>
  <si>
    <t>VHC/26-27/37</t>
  </si>
  <si>
    <t>21.05.26</t>
  </si>
  <si>
    <t>VECV Ujjain</t>
  </si>
  <si>
    <t>Tarun</t>
  </si>
  <si>
    <t>Sr. Manager</t>
  </si>
  <si>
    <t>DCM Shriram International</t>
  </si>
  <si>
    <t>Sanddesh Garhewal</t>
  </si>
  <si>
    <t>DGM - QA/QC</t>
  </si>
  <si>
    <t>Govind Kumar</t>
  </si>
  <si>
    <t>VECV Sales</t>
  </si>
  <si>
    <t>Anurag Mishra</t>
  </si>
  <si>
    <t>RSM SCV</t>
  </si>
  <si>
    <t>Ashutosh Pandey</t>
  </si>
  <si>
    <t>SCV-Marketing</t>
  </si>
  <si>
    <t>Deepak Basnayat</t>
  </si>
  <si>
    <t>Aftermarket CSM</t>
  </si>
  <si>
    <t>North</t>
  </si>
  <si>
    <t>VHC/26-27/10</t>
  </si>
  <si>
    <t>Dhruvil Milind Shah</t>
  </si>
  <si>
    <t>CSM - HD Tippers</t>
  </si>
  <si>
    <t>Jarnail Saini</t>
  </si>
  <si>
    <t>CSM-LMD SALES</t>
  </si>
  <si>
    <t>Gurgaom</t>
  </si>
  <si>
    <t>13,56,902</t>
  </si>
  <si>
    <t>VHC/26-27/74</t>
  </si>
  <si>
    <t>1,13,029.94</t>
  </si>
  <si>
    <t>Kamal Singh</t>
  </si>
  <si>
    <t>CSM -  HD Sales</t>
  </si>
  <si>
    <t>Alwar</t>
  </si>
  <si>
    <t>Neelesh Kumar</t>
  </si>
  <si>
    <t>CSM - Aftermarket</t>
  </si>
  <si>
    <t>West</t>
  </si>
  <si>
    <t>8,01,931</t>
  </si>
  <si>
    <t>VHC/26-27/76</t>
  </si>
  <si>
    <t>Pragati Yadav</t>
  </si>
  <si>
    <t>ASPM</t>
  </si>
  <si>
    <t>Gurgaon/Jaipur</t>
  </si>
  <si>
    <t>Rohit Raman</t>
  </si>
  <si>
    <t>RSM-SALES-SCV</t>
  </si>
  <si>
    <t>Delhi NCR</t>
  </si>
  <si>
    <t>26,73,794</t>
  </si>
  <si>
    <t>VHC/26-27/58</t>
  </si>
  <si>
    <t>2,67,379.40</t>
  </si>
  <si>
    <t>Subhadip Mitra</t>
  </si>
  <si>
    <t>CSM SCV Sales</t>
  </si>
  <si>
    <t>Suraj Bisht</t>
  </si>
  <si>
    <t>VHC/26-27/45</t>
  </si>
  <si>
    <t>4.6.2026</t>
  </si>
  <si>
    <t>VECV Baggad</t>
  </si>
  <si>
    <t>Sunny Kanaujiya</t>
  </si>
  <si>
    <t>Weld Shop Quality</t>
  </si>
  <si>
    <t>Baggad</t>
  </si>
  <si>
    <t>VHC/25-26/133</t>
  </si>
  <si>
    <t>Nitesh Upadhyay</t>
  </si>
  <si>
    <t>HR IR</t>
  </si>
  <si>
    <t>Jhajhar</t>
  </si>
  <si>
    <t>Tarun Singh</t>
  </si>
  <si>
    <t>Hosur</t>
  </si>
  <si>
    <t>VHCPL/25-26/65</t>
  </si>
  <si>
    <t>Himanshu Solanki</t>
  </si>
  <si>
    <t>VHC/25-26/141</t>
  </si>
  <si>
    <t>26.02.2026</t>
  </si>
  <si>
    <t>Roshan Lawanshi</t>
  </si>
  <si>
    <t>PDI</t>
  </si>
  <si>
    <t>VHC/26-27/02</t>
  </si>
  <si>
    <t>Saransh</t>
  </si>
  <si>
    <t>Maint</t>
  </si>
  <si>
    <t>Parts Planning</t>
  </si>
  <si>
    <t>Sarvajeet</t>
  </si>
  <si>
    <t>Ankit Khare</t>
  </si>
  <si>
    <t>Area After Sales</t>
  </si>
  <si>
    <t>Ashish Rathi</t>
  </si>
  <si>
    <t>Lead Dealer Operation</t>
  </si>
  <si>
    <t>VHCPL/25-26/98</t>
  </si>
  <si>
    <t>31.01.2026</t>
  </si>
  <si>
    <t>Dayasagar Sakhare</t>
  </si>
  <si>
    <t>1,83,450</t>
  </si>
  <si>
    <t>Harshita Annadanopu</t>
  </si>
  <si>
    <t>Sales Planner - 3w</t>
  </si>
  <si>
    <t>VHCPL/25-26/63</t>
  </si>
  <si>
    <t>Karthik Subramanian</t>
  </si>
  <si>
    <t>NPD QA</t>
  </si>
  <si>
    <t>VHCPL/26-27/43</t>
  </si>
  <si>
    <t>1,30,200</t>
  </si>
  <si>
    <t>Maulik Patel</t>
  </si>
  <si>
    <t>Zonal Head - FALLP</t>
  </si>
  <si>
    <t>VHCPL/25-26/64</t>
  </si>
  <si>
    <t>Nishant Sharma</t>
  </si>
  <si>
    <t>Area Sales Manager-Premium</t>
  </si>
  <si>
    <t>Omprakash</t>
  </si>
  <si>
    <t>Retail Finance</t>
  </si>
  <si>
    <t>1,97,545.95</t>
  </si>
  <si>
    <t>Rajeev Ranjan</t>
  </si>
  <si>
    <t>Lead - Part Quality</t>
  </si>
  <si>
    <t>Ranadeep Das</t>
  </si>
  <si>
    <t>Area Trainer</t>
  </si>
  <si>
    <t>Thilagaraj A</t>
  </si>
  <si>
    <t>Hubli</t>
  </si>
  <si>
    <t>Ranjith Gowda</t>
  </si>
  <si>
    <t>Institutional Sales Manager - 2W</t>
  </si>
  <si>
    <t>Rohit PS</t>
  </si>
  <si>
    <t>Territory Sales Manager</t>
  </si>
  <si>
    <t>Jalgaon</t>
  </si>
  <si>
    <t>Anurag Tripathi</t>
  </si>
  <si>
    <t>Channel sales manager</t>
  </si>
  <si>
    <t>11,82,568</t>
  </si>
  <si>
    <t>VHC/26-27/75</t>
  </si>
  <si>
    <t>Arun Mandral</t>
  </si>
  <si>
    <t>Channel Service Manager</t>
  </si>
  <si>
    <t>Dominick J</t>
  </si>
  <si>
    <t>Trichy</t>
  </si>
  <si>
    <t>12.01.2026</t>
  </si>
  <si>
    <t>VHC/25-26/118</t>
  </si>
  <si>
    <t>Himanshu Patel</t>
  </si>
  <si>
    <t>Channel Sales Manager</t>
  </si>
  <si>
    <t>Vidisha</t>
  </si>
  <si>
    <t>7,52,655</t>
  </si>
  <si>
    <t>Kalpesh Patil</t>
  </si>
  <si>
    <t>SCV Sales</t>
  </si>
  <si>
    <t>Nithin Krishna</t>
  </si>
  <si>
    <t>CSM- BUS</t>
  </si>
  <si>
    <t>11,69,441</t>
  </si>
  <si>
    <t>Raman Yadav</t>
  </si>
  <si>
    <t>Channel Sales Manager-LMD</t>
  </si>
  <si>
    <t>12,00,000</t>
  </si>
  <si>
    <t>Shiv Kumar</t>
  </si>
  <si>
    <t>Channel Resales Manager</t>
  </si>
  <si>
    <t>9,79,845</t>
  </si>
  <si>
    <t>Tarun Chaudhary</t>
  </si>
  <si>
    <t>CSM IB</t>
  </si>
  <si>
    <t>14,50,410</t>
  </si>
  <si>
    <t>VHC/26-27/73</t>
  </si>
  <si>
    <t>1,20,819.15</t>
  </si>
  <si>
    <t>Vignesh V</t>
  </si>
  <si>
    <t>CSM HD</t>
  </si>
  <si>
    <t>Salem/Coimbatore/Vizag</t>
  </si>
  <si>
    <t>Yogesh Kumar</t>
  </si>
  <si>
    <t>VHC/25-26/152</t>
  </si>
  <si>
    <t>KAM - Aftermarket</t>
  </si>
  <si>
    <t>Amit Kumar Pandey</t>
  </si>
  <si>
    <t>CSM LMD Sales</t>
  </si>
  <si>
    <t>VHC/26-27/46</t>
  </si>
  <si>
    <t>Krishan Gopal Mishra</t>
  </si>
  <si>
    <t>CSM -  LMD Sales</t>
  </si>
  <si>
    <t>Mahendra Reddy Battula</t>
  </si>
  <si>
    <t>Vijawada</t>
  </si>
  <si>
    <t>VHC/25-26/134</t>
  </si>
  <si>
    <t>Marcen Kamraj </t>
  </si>
  <si>
    <t>CSM SALES</t>
  </si>
  <si>
    <t>Kochin</t>
  </si>
  <si>
    <t>Naveenkumar S</t>
  </si>
  <si>
    <t>Jyoti sharma</t>
  </si>
  <si>
    <t>Purchase</t>
  </si>
  <si>
    <t>VHC/25-26/142</t>
  </si>
  <si>
    <t>Rohit Kumar</t>
  </si>
  <si>
    <t>Denso Testing</t>
  </si>
  <si>
    <t>Anish Kumar</t>
  </si>
  <si>
    <t>Bus Body QA</t>
  </si>
  <si>
    <t>EEC</t>
  </si>
  <si>
    <t>Adarsh Pratap</t>
  </si>
  <si>
    <t>Soucring</t>
  </si>
  <si>
    <t>VHC/26-27/05</t>
  </si>
  <si>
    <t>Fiat</t>
  </si>
  <si>
    <t>Pravin Bhalchandra More</t>
  </si>
  <si>
    <t>IR</t>
  </si>
  <si>
    <t>VHCPL/26-27/12</t>
  </si>
  <si>
    <t>Shilpi Soni</t>
  </si>
  <si>
    <t>Manager HRBP</t>
  </si>
  <si>
    <t>Honda R&amp;D</t>
  </si>
  <si>
    <t>Akashdeep</t>
  </si>
  <si>
    <t>Frame Design</t>
  </si>
  <si>
    <t>Ayush Goyal</t>
  </si>
  <si>
    <t>General Administration</t>
  </si>
  <si>
    <t>20,00,000</t>
  </si>
  <si>
    <t>VHC/26-27/87</t>
  </si>
  <si>
    <t>1,66,600</t>
  </si>
  <si>
    <t>Product Serearch</t>
  </si>
  <si>
    <t>Bhawana Pawar</t>
  </si>
  <si>
    <t>CAE</t>
  </si>
  <si>
    <t>Ankush Pandey</t>
  </si>
  <si>
    <t>Warehouse</t>
  </si>
  <si>
    <t>VHC/26-27/33</t>
  </si>
  <si>
    <t>Atal Kumar</t>
  </si>
  <si>
    <t>Himank</t>
  </si>
  <si>
    <t>Material Planning</t>
  </si>
  <si>
    <t>VHC/26-27/86</t>
  </si>
  <si>
    <t>Jatin Kaushal</t>
  </si>
  <si>
    <t>Warehouse operation</t>
  </si>
  <si>
    <t>Jayesh</t>
  </si>
  <si>
    <t>Kartikey</t>
  </si>
  <si>
    <t>PMO</t>
  </si>
  <si>
    <t>VHC/26-27/36</t>
  </si>
  <si>
    <t>Nikhil</t>
  </si>
  <si>
    <t>Vehicle Integration</t>
  </si>
  <si>
    <t>VHC/26-27/34</t>
  </si>
  <si>
    <t>Ritesh Tidake</t>
  </si>
  <si>
    <t>Interior Design</t>
  </si>
  <si>
    <t>Rupesh Patil</t>
  </si>
  <si>
    <t>DM Procurment</t>
  </si>
  <si>
    <t>VHC/26-27/66</t>
  </si>
  <si>
    <t>1,00,793</t>
  </si>
  <si>
    <t>24.7.2026</t>
  </si>
  <si>
    <t>Sagar Vagade</t>
  </si>
  <si>
    <t>VD</t>
  </si>
  <si>
    <t>VHC/26-27/03</t>
  </si>
  <si>
    <t>Sumit</t>
  </si>
  <si>
    <t>10,59,206</t>
  </si>
  <si>
    <t>VHC/26-27/57</t>
  </si>
  <si>
    <t>Vaibhav</t>
  </si>
  <si>
    <t>Vaishali</t>
  </si>
  <si>
    <t>Vishal</t>
  </si>
  <si>
    <t>Vishal Viswakarma</t>
  </si>
  <si>
    <t>Pawan Tiwari</t>
  </si>
  <si>
    <t>TM Sales-2w</t>
  </si>
  <si>
    <t>Arpit Sarag</t>
  </si>
  <si>
    <t>Bharti Bhogra</t>
  </si>
  <si>
    <t>Vehicle Testing</t>
  </si>
  <si>
    <t>8,40,000</t>
  </si>
  <si>
    <t>VHC/26-27/88</t>
  </si>
  <si>
    <t>24.8.2026</t>
  </si>
  <si>
    <t>Nandnee Yadav</t>
  </si>
  <si>
    <t>VHC/26-27/38</t>
  </si>
  <si>
    <t>Shishir</t>
  </si>
  <si>
    <t>Sumit kumar prajapati</t>
  </si>
  <si>
    <t>VHC/25-26/123</t>
  </si>
  <si>
    <t>Vikas Phougat</t>
  </si>
  <si>
    <t>8,96,348</t>
  </si>
  <si>
    <t>VHC/26-27/89</t>
  </si>
  <si>
    <t>Akash Mondal</t>
  </si>
  <si>
    <t>CSM - Service IB</t>
  </si>
  <si>
    <t>Akshay Baban Andhale</t>
  </si>
  <si>
    <t>Amit Trivedi</t>
  </si>
  <si>
    <t>Chandigarh</t>
  </si>
  <si>
    <t>Anuj Sharma</t>
  </si>
  <si>
    <t>11,30,022</t>
  </si>
  <si>
    <t>VHC/26-27/59</t>
  </si>
  <si>
    <t>ASLAY A</t>
  </si>
  <si>
    <t>LMD- CSM</t>
  </si>
  <si>
    <t>Coimbatore/Salem</t>
  </si>
  <si>
    <t>Avinash  Shere</t>
  </si>
  <si>
    <t>Gaurav Shakya</t>
  </si>
  <si>
    <t>Gopi Krishna Naraboina</t>
  </si>
  <si>
    <t>Vijaywada</t>
  </si>
  <si>
    <t>9,24,000</t>
  </si>
  <si>
    <t>VHC/26-27/77</t>
  </si>
  <si>
    <t>Harsh Gupta</t>
  </si>
  <si>
    <t>MFC AM/DM</t>
  </si>
  <si>
    <t>Harshit Dubey</t>
  </si>
  <si>
    <t>CSM-EPS servcie IB</t>
  </si>
  <si>
    <t>Janki Raman V B</t>
  </si>
  <si>
    <t>Jibin S Leen</t>
  </si>
  <si>
    <t>CSM - HD Tipper Sales</t>
  </si>
  <si>
    <t>Kochi</t>
  </si>
  <si>
    <t>Kommuri Veera Babu</t>
  </si>
  <si>
    <t>07.03.2026</t>
  </si>
  <si>
    <t>Manish Kumar Yadav</t>
  </si>
  <si>
    <t>Mayank Shivhare</t>
  </si>
  <si>
    <t>MS Pravin</t>
  </si>
  <si>
    <t>ASM- HD SALES</t>
  </si>
  <si>
    <t>22,52,509</t>
  </si>
  <si>
    <t>1,87,633.99</t>
  </si>
  <si>
    <t>Nivedita Kumar</t>
  </si>
  <si>
    <t>Product Manager-SCV</t>
  </si>
  <si>
    <t>10,54,242</t>
  </si>
  <si>
    <t>Raghu Mylapilli</t>
  </si>
  <si>
    <t>CSM-BUS SALES</t>
  </si>
  <si>
    <t>12,56,428</t>
  </si>
  <si>
    <t>1,04,660.45</t>
  </si>
  <si>
    <t>Sourav Rawal</t>
  </si>
  <si>
    <t>SCV Resales</t>
  </si>
  <si>
    <t>Subhasish Satpathy</t>
  </si>
  <si>
    <t>CSM -LMD sales</t>
  </si>
  <si>
    <t>Tejas patil</t>
  </si>
  <si>
    <t>Large accounts manager</t>
  </si>
  <si>
    <t>Ahmedabad/Thane</t>
  </si>
  <si>
    <t>22,04,699</t>
  </si>
  <si>
    <t>1,83,651.43</t>
  </si>
  <si>
    <t>Vivek Kumar Yadav</t>
  </si>
  <si>
    <t>CSM - SCV Sales</t>
  </si>
  <si>
    <t>12,40,050</t>
  </si>
  <si>
    <t>1,03,296.16</t>
  </si>
  <si>
    <t>Tabish Alam</t>
  </si>
  <si>
    <t>Sales trainer</t>
  </si>
  <si>
    <t>13,23,219</t>
  </si>
  <si>
    <t>1,10,224.14</t>
  </si>
  <si>
    <t>Ankur Maurya</t>
  </si>
  <si>
    <t>CSM Service IB</t>
  </si>
  <si>
    <t>Anuraj PM</t>
  </si>
  <si>
    <t>15,00,713</t>
  </si>
  <si>
    <t>1,25,009.39</t>
  </si>
  <si>
    <t>Kunal Uniyara</t>
  </si>
  <si>
    <t>CSM - Bus Sales</t>
  </si>
  <si>
    <t>Mudasir shah</t>
  </si>
  <si>
    <t>Kashmir</t>
  </si>
  <si>
    <t>11,13,684</t>
  </si>
  <si>
    <t>Rohan Singh</t>
  </si>
  <si>
    <t>11,00,144</t>
  </si>
  <si>
    <t>Vijay</t>
  </si>
  <si>
    <t>Huzefa Altaf  Attari</t>
  </si>
  <si>
    <t>Prafull Garg</t>
  </si>
  <si>
    <t>Unit Manager Assembly</t>
  </si>
  <si>
    <t>Mysore</t>
  </si>
  <si>
    <t>VHCPL/26-27/44</t>
  </si>
  <si>
    <t>3,77,000</t>
  </si>
  <si>
    <t>Thomas</t>
  </si>
  <si>
    <t>BU Head Service</t>
  </si>
  <si>
    <t>VHCPL/26-27/07</t>
  </si>
  <si>
    <t>Gorthi Satyasai Kumar</t>
  </si>
  <si>
    <t>Customer Complaint</t>
  </si>
  <si>
    <t>1,86,000</t>
  </si>
  <si>
    <t>Kritika</t>
  </si>
  <si>
    <t>Nishant Kumar</t>
  </si>
  <si>
    <t>Rajapandi</t>
  </si>
  <si>
    <t>TM Service</t>
  </si>
  <si>
    <t>Lalit Choudhari</t>
  </si>
  <si>
    <t>13,11,549</t>
  </si>
  <si>
    <t>1,09,252.03</t>
  </si>
  <si>
    <t>Anand Prakash</t>
  </si>
  <si>
    <t>QA HT</t>
  </si>
  <si>
    <t>Anurag</t>
  </si>
  <si>
    <t>03.02.26</t>
  </si>
  <si>
    <t>Ashutosh Mishra</t>
  </si>
  <si>
    <t>Embedded Software</t>
  </si>
  <si>
    <t>Chandra Bhanu</t>
  </si>
  <si>
    <t>Dharmder More</t>
  </si>
  <si>
    <t>Diksha Srivastva</t>
  </si>
  <si>
    <t>Civil</t>
  </si>
  <si>
    <t>Himanshu Soni</t>
  </si>
  <si>
    <t>Electrical Design</t>
  </si>
  <si>
    <t>Manish Bhoi</t>
  </si>
  <si>
    <t>Maintenance</t>
  </si>
  <si>
    <t>Pramod Kumar</t>
  </si>
  <si>
    <t>Priyojeet Dutta</t>
  </si>
  <si>
    <t>5,50,000</t>
  </si>
  <si>
    <t>Sachin Maourya</t>
  </si>
  <si>
    <t>Shivam Gautam</t>
  </si>
  <si>
    <t>Chassis Design</t>
  </si>
  <si>
    <t>Shivkant Kushwah</t>
  </si>
  <si>
    <t>Shubham Chandrol</t>
  </si>
  <si>
    <t>Transmission Assembly</t>
  </si>
  <si>
    <t>Shubham Kumar</t>
  </si>
  <si>
    <t>EXIM</t>
  </si>
  <si>
    <t>Monu Kumar</t>
  </si>
  <si>
    <t>Avinash H</t>
  </si>
  <si>
    <t>PPC</t>
  </si>
  <si>
    <t>5,40,000</t>
  </si>
  <si>
    <t>Navdeep Parashar</t>
  </si>
  <si>
    <t>Cargo Body QA</t>
  </si>
  <si>
    <t>Ravi Nagar</t>
  </si>
  <si>
    <t>Ritik Prajapati</t>
  </si>
  <si>
    <t>Utility Maintenance</t>
  </si>
  <si>
    <t>21.5.2026</t>
  </si>
  <si>
    <t>Vikas Atulkar</t>
  </si>
  <si>
    <t>SPC</t>
  </si>
  <si>
    <t>TSO Service</t>
  </si>
  <si>
    <t>Ludhiana</t>
  </si>
  <si>
    <t>Besk Group(Koki)</t>
  </si>
  <si>
    <t>Ravi Kishore  T</t>
  </si>
  <si>
    <t>Engineering Manager</t>
  </si>
  <si>
    <t>19.01.2026</t>
  </si>
  <si>
    <t>VHCPL/25-26/97</t>
  </si>
  <si>
    <t>28.01.26</t>
  </si>
  <si>
    <t>IbUS Networks</t>
  </si>
  <si>
    <t>Jayesh Deepak  Bhat</t>
  </si>
  <si>
    <t>GM Legal</t>
  </si>
  <si>
    <t>8.6.26</t>
  </si>
  <si>
    <t>VHCPL/26-27/29</t>
  </si>
  <si>
    <t>3,72,500</t>
  </si>
  <si>
    <t>Ritu Raj Mane</t>
  </si>
  <si>
    <t>FTTX Engineer</t>
  </si>
  <si>
    <t>16th July - 2026</t>
  </si>
  <si>
    <t>VHCPL/26-27/66</t>
  </si>
  <si>
    <t>Microsense Network</t>
  </si>
  <si>
    <t>Nayan Acharya</t>
  </si>
  <si>
    <t>AR Billing</t>
  </si>
  <si>
    <t>VHCPL/26-27/30</t>
  </si>
  <si>
    <t>Sachidanandan</t>
  </si>
  <si>
    <t>Civil Project</t>
  </si>
  <si>
    <t>13.07.26</t>
  </si>
  <si>
    <t>13,44,000</t>
  </si>
  <si>
    <t>1,11,955.20</t>
  </si>
  <si>
    <t>Tata Fiat</t>
  </si>
  <si>
    <t>Tushar Desai</t>
  </si>
  <si>
    <t>Emission Test Engineer</t>
  </si>
  <si>
    <t>15.4.26</t>
  </si>
  <si>
    <t>12,05,832</t>
  </si>
  <si>
    <t>VHCPL/26-27/18</t>
  </si>
  <si>
    <t>1,00,445.80</t>
  </si>
  <si>
    <t>krishna</t>
  </si>
  <si>
    <t>Sundaram</t>
  </si>
  <si>
    <t>Ashwini</t>
  </si>
  <si>
    <t>BDE - Executive</t>
  </si>
  <si>
    <t>6.6.26</t>
  </si>
  <si>
    <t>Account Manager normalized: krishna → Krishna</t>
  </si>
  <si>
    <t>Source Row</t>
  </si>
  <si>
    <t>Candidate</t>
  </si>
  <si>
    <t>Billing Amount</t>
  </si>
  <si>
    <t>Payment Status</t>
  </si>
  <si>
    <t>Review Note</t>
  </si>
  <si>
    <t>Standardization / Review Item</t>
  </si>
  <si>
    <t>Count</t>
  </si>
  <si>
    <t>Rows retained (S.No present)</t>
  </si>
  <si>
    <t>Trailing total-only rows excluded</t>
  </si>
  <si>
    <t>Bengaluru → Bangalore</t>
  </si>
  <si>
    <t>Banglaore → Bangalore</t>
  </si>
  <si>
    <t>Lowercase PP → PP</t>
  </si>
  <si>
    <t>Blank recruiter</t>
  </si>
  <si>
    <t>Unmapped payment status</t>
  </si>
  <si>
    <t>Blank billing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</si>
</sst>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#,##0.00000000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/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Branch Revenue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Payment Received</c:v>
          </c:tx>
          <c:invertIfNegative val="1"/>
          <c:cat>
            <c:strRef>
              <c:f>Dashboard!$D$5:$D$9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Faridabad</c:v>
                </c:pt>
                <c:pt idx="3">
                  <c:v>Gurgaon</c:v>
                </c:pt>
                <c:pt idx="4">
                  <c:v>Hyderabad</c:v>
                </c:pt>
              </c:strCache>
            </c:strRef>
          </c:cat>
          <c:val>
            <c:numRef>
              <c:f>Dashboard!$E$5:$E$9</c:f>
              <c:numCache>
                <c:formatCode>\₹#,##0.00</c:formatCode>
                <c:ptCount val="5"/>
                <c:pt idx="0">
                  <c:v>9498397.5909000002</c:v>
                </c:pt>
                <c:pt idx="1">
                  <c:v>12563960.8879</c:v>
                </c:pt>
                <c:pt idx="2">
                  <c:v>8042801.9355999995</c:v>
                </c:pt>
                <c:pt idx="3">
                  <c:v>4504175.7101999996</c:v>
                </c:pt>
                <c:pt idx="4">
                  <c:v>659951.64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E-43B9-915F-C758DB648860}"/>
            </c:ext>
          </c:extLst>
        </c:ser>
        <c:ser>
          <c:idx val="1"/>
          <c:order val="1"/>
          <c:tx>
            <c:v>Pending (PP + IP)</c:v>
          </c:tx>
          <c:invertIfNegative val="1"/>
          <c:cat>
            <c:strRef>
              <c:f>Dashboard!$D$5:$D$9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Faridabad</c:v>
                </c:pt>
                <c:pt idx="3">
                  <c:v>Gurgaon</c:v>
                </c:pt>
                <c:pt idx="4">
                  <c:v>Hyderabad</c:v>
                </c:pt>
              </c:strCache>
            </c:strRef>
          </c:cat>
          <c:val>
            <c:numRef>
              <c:f>Dashboard!$F$5:$F$9</c:f>
              <c:numCache>
                <c:formatCode>\₹#,##0.00</c:formatCode>
                <c:ptCount val="5"/>
                <c:pt idx="0">
                  <c:v>8246981.0016000001</c:v>
                </c:pt>
                <c:pt idx="1">
                  <c:v>4928433.4969999995</c:v>
                </c:pt>
                <c:pt idx="2">
                  <c:v>972160.88</c:v>
                </c:pt>
                <c:pt idx="3">
                  <c:v>3107706.66</c:v>
                </c:pt>
                <c:pt idx="4">
                  <c:v>341216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E-43B9-915F-C758DB648860}"/>
            </c:ext>
          </c:extLst>
        </c:ser>
        <c:ser>
          <c:idx val="2"/>
          <c:order val="2"/>
          <c:tx>
            <c:v>Gross Billing</c:v>
          </c:tx>
          <c:invertIfNegative val="1"/>
          <c:cat>
            <c:strRef>
              <c:f>Dashboard!$D$5:$D$9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Faridabad</c:v>
                </c:pt>
                <c:pt idx="3">
                  <c:v>Gurgaon</c:v>
                </c:pt>
                <c:pt idx="4">
                  <c:v>Hyderabad</c:v>
                </c:pt>
              </c:strCache>
            </c:strRef>
          </c:cat>
          <c:val>
            <c:numRef>
              <c:f>Dashboard!$G$5:$G$9</c:f>
              <c:numCache>
                <c:formatCode>\₹#,##0.00</c:formatCode>
                <c:ptCount val="5"/>
                <c:pt idx="0">
                  <c:v>17745378.592500005</c:v>
                </c:pt>
                <c:pt idx="1">
                  <c:v>17693387.884900004</c:v>
                </c:pt>
                <c:pt idx="2">
                  <c:v>9074938.8155999985</c:v>
                </c:pt>
                <c:pt idx="3">
                  <c:v>7611882.3702000007</c:v>
                </c:pt>
                <c:pt idx="4">
                  <c:v>1001167.64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E-43B9-915F-C758DB648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ranchSummaryTable" displayName="BranchSummaryTable" ref="A1:M6" totalsRowShown="0">
  <autoFilter ref="A1:M6" xr:uid="{00000000-000C-0000-FFFF-FFFF00000000}"/>
  <sortState xmlns:xlrd2="http://schemas.microsoft.com/office/spreadsheetml/2017/richdata2" ref="A2:M6">
    <sortCondition descending="1" ref="D1:D6"/>
  </sortState>
  <tableColumns count="13">
    <tableColumn id="1" xr3:uid="{00000000-0010-0000-0000-000001000000}" name="Branch"/>
    <tableColumn id="2" xr3:uid="{00000000-0010-0000-0000-000002000000}" name="Recruiter Groups"/>
    <tableColumn id="3" xr3:uid="{00000000-0010-0000-0000-000003000000}" name="Placements"/>
    <tableColumn id="4" xr3:uid="{00000000-0010-0000-0000-000004000000}" name="Gross Billing"/>
    <tableColumn id="5" xr3:uid="{00000000-0010-0000-0000-000005000000}" name="Payment Received"/>
    <tableColumn id="6" xr3:uid="{00000000-0010-0000-0000-000006000000}" name="PP"/>
    <tableColumn id="7" xr3:uid="{00000000-0010-0000-0000-000007000000}" name="IP"/>
    <tableColumn id="8" xr3:uid="{00000000-0010-0000-0000-000008000000}" name="Backout"/>
    <tableColumn id="9" xr3:uid="{00000000-0010-0000-0000-000009000000}" name="Credit Note"/>
    <tableColumn id="10" xr3:uid="{00000000-0010-0000-0000-00000A000000}" name="Other / Review"/>
    <tableColumn id="11" xr3:uid="{00000000-0010-0000-0000-00000B000000}" name="Active Revenue"/>
    <tableColumn id="12" xr3:uid="{00000000-0010-0000-0000-00000C000000}" name="Realization %"/>
    <tableColumn id="13" xr3:uid="{00000000-0010-0000-0000-00000D000000}" name="Avg Revenue / Plac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ruiterRevenueTable" displayName="RecruiterRevenueTable" ref="A1:N89" totalsRowShown="0">
  <autoFilter ref="A1:N89" xr:uid="{00000000-000C-0000-FFFF-FFFF01000000}"/>
  <sortState xmlns:xlrd2="http://schemas.microsoft.com/office/spreadsheetml/2017/richdata2" ref="A2:N89">
    <sortCondition descending="1" ref="E1:E89"/>
  </sortState>
  <tableColumns count="14">
    <tableColumn id="1" xr3:uid="{00000000-0010-0000-0100-000001000000}" name="Branch"/>
    <tableColumn id="2" xr3:uid="{00000000-0010-0000-0100-000002000000}" name="Account Manager"/>
    <tableColumn id="3" xr3:uid="{00000000-0010-0000-0100-000003000000}" name="Recruiter"/>
    <tableColumn id="4" xr3:uid="{00000000-0010-0000-0100-000004000000}" name="Placements"/>
    <tableColumn id="5" xr3:uid="{00000000-0010-0000-0100-000005000000}" name="Gross Billing"/>
    <tableColumn id="6" xr3:uid="{00000000-0010-0000-0100-000006000000}" name="Payment Received"/>
    <tableColumn id="7" xr3:uid="{00000000-0010-0000-0100-000007000000}" name="PP"/>
    <tableColumn id="8" xr3:uid="{00000000-0010-0000-0100-000008000000}" name="IP"/>
    <tableColumn id="9" xr3:uid="{00000000-0010-0000-0100-000009000000}" name="Backout"/>
    <tableColumn id="10" xr3:uid="{00000000-0010-0000-0100-00000A000000}" name="Credit Note"/>
    <tableColumn id="11" xr3:uid="{00000000-0010-0000-0100-00000B000000}" name="Other / Review"/>
    <tableColumn id="12" xr3:uid="{00000000-0010-0000-0100-00000C000000}" name="Active Revenue"/>
    <tableColumn id="13" xr3:uid="{00000000-0010-0000-0100-00000D000000}" name="Realization %"/>
    <tableColumn id="14" xr3:uid="{00000000-0010-0000-0100-00000E000000}" name="Avg Revenue / Plac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ortedDataTable" displayName="SortedDataTable" ref="A1:U528" totalsRowShown="0">
  <tableColumns count="21">
    <tableColumn id="1" xr3:uid="{00000000-0010-0000-0200-000001000000}" name="S.No"/>
    <tableColumn id="2" xr3:uid="{00000000-0010-0000-0200-000002000000}" name="Branch (Original)"/>
    <tableColumn id="3" xr3:uid="{00000000-0010-0000-0200-000003000000}" name="Branch (Standard)"/>
    <tableColumn id="4" xr3:uid="{00000000-0010-0000-0200-000004000000}" name="Account Manager (Original)"/>
    <tableColumn id="5" xr3:uid="{00000000-0010-0000-0200-000005000000}" name="Account Manager (Standard)"/>
    <tableColumn id="6" xr3:uid="{00000000-0010-0000-0200-000006000000}" name="Recruiter (Original)"/>
    <tableColumn id="7" xr3:uid="{00000000-0010-0000-0200-000007000000}" name="Recruiter (Standard)"/>
    <tableColumn id="8" xr3:uid="{00000000-0010-0000-0200-000008000000}" name="Organization"/>
    <tableColumn id="9" xr3:uid="{00000000-0010-0000-0200-000009000000}" name="Candidate Name"/>
    <tableColumn id="10" xr3:uid="{00000000-0010-0000-0200-00000A000000}" name="Designation"/>
    <tableColumn id="11" xr3:uid="{00000000-0010-0000-0200-00000B000000}" name="Department"/>
    <tableColumn id="12" xr3:uid="{00000000-0010-0000-0200-00000C000000}" name="Location"/>
    <tableColumn id="13" xr3:uid="{00000000-0010-0000-0200-00000D000000}" name="DOJ"/>
    <tableColumn id="14" xr3:uid="{00000000-0010-0000-0200-00000E000000}" name="Offered CTC"/>
    <tableColumn id="15" xr3:uid="{00000000-0010-0000-0200-00000F000000}" name="Invoice No."/>
    <tableColumn id="16" xr3:uid="{00000000-0010-0000-0200-000010000000}" name="Billing Amount (Original)"/>
    <tableColumn id="17" xr3:uid="{00000000-0010-0000-0200-000011000000}" name="Revenue (Numeric)"/>
    <tableColumn id="18" xr3:uid="{00000000-0010-0000-0200-000012000000}" name="Invoice Date"/>
    <tableColumn id="19" xr3:uid="{00000000-0010-0000-0200-000013000000}" name="Payment Status (Original)"/>
    <tableColumn id="20" xr3:uid="{00000000-0010-0000-0200-000014000000}" name="Payment Status (Standard)"/>
    <tableColumn id="21" xr3:uid="{00000000-0010-0000-0200-000015000000}" name="Data Quality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QualityTable" displayName="DataQualityTable" ref="A1:J15" totalsRowShown="0">
  <tableColumns count="10">
    <tableColumn id="1" xr3:uid="{00000000-0010-0000-0300-000001000000}" name="Source Row"/>
    <tableColumn id="2" xr3:uid="{00000000-0010-0000-0300-000002000000}" name="S.No"/>
    <tableColumn id="3" xr3:uid="{00000000-0010-0000-0300-000003000000}" name="Branch"/>
    <tableColumn id="4" xr3:uid="{00000000-0010-0000-0300-000004000000}" name="Account Manager"/>
    <tableColumn id="5" xr3:uid="{00000000-0010-0000-0300-000005000000}" name="Recruiter"/>
    <tableColumn id="6" xr3:uid="{00000000-0010-0000-0300-000006000000}" name="Organization"/>
    <tableColumn id="7" xr3:uid="{00000000-0010-0000-0300-000007000000}" name="Candidate"/>
    <tableColumn id="8" xr3:uid="{00000000-0010-0000-0300-000008000000}" name="Billing Amount"/>
    <tableColumn id="9" xr3:uid="{00000000-0010-0000-0300-000009000000}" name="Payment Status"/>
    <tableColumn id="10" xr3:uid="{00000000-0010-0000-0300-00000A000000}" name="Review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29" sqref="A29"/>
    </sheetView>
  </sheetViews>
  <sheetFormatPr defaultRowHeight="13.8"/>
  <cols>
    <col min="1" max="1" width="26" customWidth="1"/>
    <col min="2" max="2" width="18" customWidth="1"/>
    <col min="3" max="3" width="4" customWidth="1"/>
    <col min="4" max="4" width="16" customWidth="1"/>
    <col min="5" max="7" width="19" customWidth="1"/>
    <col min="8" max="8" width="4" customWidth="1"/>
  </cols>
  <sheetData>
    <row r="1" spans="1:8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4" spans="1:8">
      <c r="A4" s="1" t="s">
        <v>1</v>
      </c>
      <c r="B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8">
      <c r="A5" s="6" t="s">
        <v>7</v>
      </c>
      <c r="B5">
        <f>SUM('Branch Summary'!C2:C6)</f>
        <v>527</v>
      </c>
      <c r="D5" t="s">
        <v>8</v>
      </c>
      <c r="E5" s="2">
        <f>'Branch Summary'!E2</f>
        <v>9498397.5909000002</v>
      </c>
      <c r="F5" s="2">
        <f>'Branch Summary'!F2+'Branch Summary'!G2</f>
        <v>8246981.0016000001</v>
      </c>
      <c r="G5" s="2">
        <f>'Branch Summary'!D2</f>
        <v>17745378.592500005</v>
      </c>
    </row>
    <row r="6" spans="1:8">
      <c r="A6" s="6" t="s">
        <v>9</v>
      </c>
      <c r="B6">
        <f>SUM('Branch Summary'!B2:B6)</f>
        <v>88</v>
      </c>
      <c r="D6" t="s">
        <v>10</v>
      </c>
      <c r="E6" s="2">
        <f>'Branch Summary'!E3</f>
        <v>12563960.8879</v>
      </c>
      <c r="F6" s="2">
        <f>'Branch Summary'!F3+'Branch Summary'!G3</f>
        <v>4928433.4969999995</v>
      </c>
      <c r="G6" s="2">
        <f>'Branch Summary'!D3</f>
        <v>17693387.884900004</v>
      </c>
    </row>
    <row r="7" spans="1:8">
      <c r="A7" s="6" t="s">
        <v>6</v>
      </c>
      <c r="B7" s="2">
        <f>SUM('Branch Summary'!D2:D6)</f>
        <v>53126755.303200006</v>
      </c>
      <c r="D7" t="s">
        <v>11</v>
      </c>
      <c r="E7" s="2">
        <f>'Branch Summary'!E4</f>
        <v>8042801.9355999995</v>
      </c>
      <c r="F7" s="2">
        <f>'Branch Summary'!F4+'Branch Summary'!G4</f>
        <v>972160.88</v>
      </c>
      <c r="G7" s="2">
        <f>'Branch Summary'!D4</f>
        <v>9074938.8155999985</v>
      </c>
    </row>
    <row r="8" spans="1:8">
      <c r="A8" s="6" t="s">
        <v>4</v>
      </c>
      <c r="B8" s="2">
        <f>SUM('Branch Summary'!E2:E6)</f>
        <v>35269287.764599994</v>
      </c>
      <c r="D8" t="s">
        <v>12</v>
      </c>
      <c r="E8" s="2">
        <f>'Branch Summary'!E5</f>
        <v>4504175.7101999996</v>
      </c>
      <c r="F8" s="2">
        <f>'Branch Summary'!F5+'Branch Summary'!G5</f>
        <v>3107706.66</v>
      </c>
      <c r="G8" s="2">
        <f>'Branch Summary'!D5</f>
        <v>7611882.3702000007</v>
      </c>
    </row>
    <row r="9" spans="1:8">
      <c r="A9" s="6" t="s">
        <v>5</v>
      </c>
      <c r="B9" s="2">
        <f>SUM('Branch Summary'!F2:F6)+SUM('Branch Summary'!G2:G6)</f>
        <v>17596498.038600001</v>
      </c>
      <c r="D9" t="s">
        <v>13</v>
      </c>
      <c r="E9" s="2">
        <f>'Branch Summary'!E6</f>
        <v>659951.64</v>
      </c>
      <c r="F9" s="2">
        <f>'Branch Summary'!F6+'Branch Summary'!G6</f>
        <v>341216</v>
      </c>
      <c r="G9" s="2">
        <f>'Branch Summary'!D6</f>
        <v>1001167.64</v>
      </c>
    </row>
    <row r="10" spans="1:8">
      <c r="A10" s="6" t="s">
        <v>14</v>
      </c>
      <c r="B10" s="2">
        <f>SUM('Branch Summary'!K2:K6)</f>
        <v>52865785.803200006</v>
      </c>
    </row>
    <row r="11" spans="1:8">
      <c r="A11" s="6" t="s">
        <v>15</v>
      </c>
      <c r="B11" s="5">
        <f>IFERROR(B8/B10,0)</f>
        <v>0.66714770675867108</v>
      </c>
    </row>
    <row r="12" spans="1:8">
      <c r="A12" s="6" t="s">
        <v>16</v>
      </c>
      <c r="B12">
        <f>14</f>
        <v>14</v>
      </c>
    </row>
    <row r="15" spans="1:8">
      <c r="A15" s="10" t="s">
        <v>17</v>
      </c>
      <c r="B15" s="10"/>
      <c r="C15" s="10"/>
      <c r="D15" s="10"/>
      <c r="E15" s="10"/>
      <c r="F15" s="10"/>
      <c r="G15" s="10"/>
      <c r="H15" s="10"/>
    </row>
    <row r="16" spans="1:8">
      <c r="A16" s="11" t="s">
        <v>18</v>
      </c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</sheetData>
  <mergeCells count="3">
    <mergeCell ref="A1:H2"/>
    <mergeCell ref="A15:H15"/>
    <mergeCell ref="A16:H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opLeftCell="F1" workbookViewId="0">
      <selection activeCell="E13" sqref="E13"/>
    </sheetView>
  </sheetViews>
  <sheetFormatPr defaultRowHeight="13.8"/>
  <cols>
    <col min="1" max="1" width="15" customWidth="1"/>
    <col min="2" max="3" width="14" customWidth="1"/>
    <col min="4" max="11" width="18" customWidth="1"/>
    <col min="12" max="12" width="13" customWidth="1"/>
    <col min="13" max="13" width="20" customWidth="1"/>
  </cols>
  <sheetData>
    <row r="1" spans="1:13" ht="27.6">
      <c r="A1" s="1" t="s">
        <v>3</v>
      </c>
      <c r="B1" s="1" t="s">
        <v>9</v>
      </c>
      <c r="C1" s="1" t="s">
        <v>7</v>
      </c>
      <c r="D1" s="1" t="s">
        <v>6</v>
      </c>
      <c r="E1" s="1" t="s">
        <v>4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14</v>
      </c>
      <c r="L1" s="1" t="s">
        <v>15</v>
      </c>
      <c r="M1" s="1" t="s">
        <v>24</v>
      </c>
    </row>
    <row r="2" spans="1:13">
      <c r="A2" t="s">
        <v>12</v>
      </c>
      <c r="B2">
        <f>COUNTIF('Recruiter Revenue'!$A:$A,$A2)</f>
        <v>25</v>
      </c>
      <c r="C2">
        <f>SUMIF('Recruiter Revenue'!$A:$A,$A2,'Recruiter Revenue'!$D:$D)</f>
        <v>166</v>
      </c>
      <c r="D2" s="2">
        <f>SUMIF('Recruiter Revenue'!$A:$A,$A2,'Recruiter Revenue'!$E:$E)</f>
        <v>17745378.592500005</v>
      </c>
      <c r="E2" s="2">
        <f>SUMIF('Recruiter Revenue'!$A:$A,$A2,'Recruiter Revenue'!$F:$F)</f>
        <v>9498397.5909000002</v>
      </c>
      <c r="F2" s="2">
        <f>SUMIF('Recruiter Revenue'!$A:$A,$A2,'Recruiter Revenue'!$G:$G)</f>
        <v>5245981.0016000001</v>
      </c>
      <c r="G2" s="2">
        <f>SUMIF('Recruiter Revenue'!$A:$A,$A2,'Recruiter Revenue'!$H:$H)</f>
        <v>3001000</v>
      </c>
      <c r="H2" s="2">
        <f>SUMIF('Recruiter Revenue'!$A:$A,$A2,'Recruiter Revenue'!$I:$I)</f>
        <v>0</v>
      </c>
      <c r="I2" s="2">
        <f>SUMIF('Recruiter Revenue'!$A:$A,$A2,'Recruiter Revenue'!$J:$J)</f>
        <v>0</v>
      </c>
      <c r="J2" s="2">
        <f>SUMIF('Recruiter Revenue'!$A:$A,$A2,'Recruiter Revenue'!$K:$K)</f>
        <v>0</v>
      </c>
      <c r="K2" s="2">
        <f>SUMIF('Recruiter Revenue'!$A:$A,$A2,'Recruiter Revenue'!$L:$L)</f>
        <v>17745378.592500005</v>
      </c>
      <c r="L2" s="5">
        <f>IFERROR(E2/K2,0)</f>
        <v>0.53526035194957466</v>
      </c>
      <c r="M2" s="2">
        <f>IFERROR(D2/C2,0)</f>
        <v>106899.87103915666</v>
      </c>
    </row>
    <row r="3" spans="1:13">
      <c r="A3" t="s">
        <v>10</v>
      </c>
      <c r="B3">
        <f>COUNTIF('Recruiter Revenue'!$A:$A,$A3)</f>
        <v>16</v>
      </c>
      <c r="C3">
        <f>SUMIF('Recruiter Revenue'!$A:$A,$A3,'Recruiter Revenue'!$D:$D)</f>
        <v>180</v>
      </c>
      <c r="D3" s="2">
        <f>SUMIF('Recruiter Revenue'!$A:$A,$A3,'Recruiter Revenue'!$E:$E)</f>
        <v>17693387.884900004</v>
      </c>
      <c r="E3" s="2">
        <f>SUMIF('Recruiter Revenue'!$A:$A,$A3,'Recruiter Revenue'!$F:$F)</f>
        <v>12563960.8879</v>
      </c>
      <c r="F3" s="2">
        <f>SUMIF('Recruiter Revenue'!$A:$A,$A3,'Recruiter Revenue'!$G:$G)</f>
        <v>3922470.6869999999</v>
      </c>
      <c r="G3" s="2">
        <f>SUMIF('Recruiter Revenue'!$A:$A,$A3,'Recruiter Revenue'!$H:$H)</f>
        <v>1005962.81</v>
      </c>
      <c r="H3" s="2">
        <f>SUMIF('Recruiter Revenue'!$A:$A,$A3,'Recruiter Revenue'!$I:$I)</f>
        <v>0</v>
      </c>
      <c r="I3" s="2">
        <f>SUMIF('Recruiter Revenue'!$A:$A,$A3,'Recruiter Revenue'!$J:$J)</f>
        <v>154899.5</v>
      </c>
      <c r="J3" s="2">
        <f>SUMIF('Recruiter Revenue'!$A:$A,$A3,'Recruiter Revenue'!$K:$K)</f>
        <v>46094</v>
      </c>
      <c r="K3" s="2">
        <f>SUMIF('Recruiter Revenue'!$A:$A,$A3,'Recruiter Revenue'!$L:$L)</f>
        <v>17492394.3849</v>
      </c>
      <c r="L3" s="5">
        <f>IFERROR(E3/K3,0)</f>
        <v>0.7182527795477569</v>
      </c>
      <c r="M3" s="2">
        <f>IFERROR(D3/C3,0)</f>
        <v>98296.59936055557</v>
      </c>
    </row>
    <row r="4" spans="1:13">
      <c r="A4" t="s">
        <v>11</v>
      </c>
      <c r="B4">
        <f>COUNTIF('Recruiter Revenue'!$A:$A,$A4)</f>
        <v>23</v>
      </c>
      <c r="C4">
        <f>SUMIF('Recruiter Revenue'!$A:$A,$A4,'Recruiter Revenue'!$D:$D)</f>
        <v>127</v>
      </c>
      <c r="D4" s="2">
        <f>SUMIF('Recruiter Revenue'!$A:$A,$A4,'Recruiter Revenue'!$E:$E)</f>
        <v>9074938.8155999985</v>
      </c>
      <c r="E4" s="2">
        <f>SUMIF('Recruiter Revenue'!$A:$A,$A4,'Recruiter Revenue'!$F:$F)</f>
        <v>8042801.9355999995</v>
      </c>
      <c r="F4" s="2">
        <f>SUMIF('Recruiter Revenue'!$A:$A,$A4,'Recruiter Revenue'!$G:$G)</f>
        <v>794419.88</v>
      </c>
      <c r="G4" s="2">
        <f>SUMIF('Recruiter Revenue'!$A:$A,$A4,'Recruiter Revenue'!$H:$H)</f>
        <v>177741</v>
      </c>
      <c r="H4" s="2">
        <f>SUMIF('Recruiter Revenue'!$A:$A,$A4,'Recruiter Revenue'!$I:$I)</f>
        <v>0</v>
      </c>
      <c r="I4" s="2">
        <f>SUMIF('Recruiter Revenue'!$A:$A,$A4,'Recruiter Revenue'!$J:$J)</f>
        <v>59976</v>
      </c>
      <c r="J4" s="2">
        <f>SUMIF('Recruiter Revenue'!$A:$A,$A4,'Recruiter Revenue'!$K:$K)</f>
        <v>0</v>
      </c>
      <c r="K4" s="2">
        <f>SUMIF('Recruiter Revenue'!$A:$A,$A4,'Recruiter Revenue'!$L:$L)</f>
        <v>9014962.8155999985</v>
      </c>
      <c r="L4" s="5">
        <f>IFERROR(E4/K4,0)</f>
        <v>0.8921614098820555</v>
      </c>
      <c r="M4" s="2">
        <f>IFERROR(D4/C4,0)</f>
        <v>71456.211146456684</v>
      </c>
    </row>
    <row r="5" spans="1:13">
      <c r="A5" t="s">
        <v>8</v>
      </c>
      <c r="B5">
        <f>COUNTIF('Recruiter Revenue'!$A:$A,$A5)</f>
        <v>22</v>
      </c>
      <c r="C5">
        <f>SUMIF('Recruiter Revenue'!$A:$A,$A5,'Recruiter Revenue'!$D:$D)</f>
        <v>47</v>
      </c>
      <c r="D5" s="2">
        <f>SUMIF('Recruiter Revenue'!$A:$A,$A5,'Recruiter Revenue'!$E:$E)</f>
        <v>7611882.3702000007</v>
      </c>
      <c r="E5" s="2">
        <f>SUMIF('Recruiter Revenue'!$A:$A,$A5,'Recruiter Revenue'!$F:$F)</f>
        <v>4504175.7101999996</v>
      </c>
      <c r="F5" s="2">
        <f>SUMIF('Recruiter Revenue'!$A:$A,$A5,'Recruiter Revenue'!$G:$G)</f>
        <v>1931979.42</v>
      </c>
      <c r="G5" s="2">
        <f>SUMIF('Recruiter Revenue'!$A:$A,$A5,'Recruiter Revenue'!$H:$H)</f>
        <v>1175727.24</v>
      </c>
      <c r="H5" s="2">
        <f>SUMIF('Recruiter Revenue'!$A:$A,$A5,'Recruiter Revenue'!$I:$I)</f>
        <v>0</v>
      </c>
      <c r="I5" s="2">
        <f>SUMIF('Recruiter Revenue'!$A:$A,$A5,'Recruiter Revenue'!$J:$J)</f>
        <v>0</v>
      </c>
      <c r="J5" s="2">
        <f>SUMIF('Recruiter Revenue'!$A:$A,$A5,'Recruiter Revenue'!$K:$K)</f>
        <v>0</v>
      </c>
      <c r="K5" s="2">
        <f>SUMIF('Recruiter Revenue'!$A:$A,$A5,'Recruiter Revenue'!$L:$L)</f>
        <v>7611882.3702000007</v>
      </c>
      <c r="L5" s="5">
        <f>IFERROR(E5/K5,0)</f>
        <v>0.59172954745511308</v>
      </c>
      <c r="M5" s="2">
        <f>IFERROR(D5/C5,0)</f>
        <v>161954.94404680852</v>
      </c>
    </row>
    <row r="6" spans="1:13">
      <c r="A6" t="s">
        <v>13</v>
      </c>
      <c r="B6">
        <f>COUNTIF('Recruiter Revenue'!$A:$A,$A6)</f>
        <v>2</v>
      </c>
      <c r="C6">
        <f>SUMIF('Recruiter Revenue'!$A:$A,$A6,'Recruiter Revenue'!$D:$D)</f>
        <v>7</v>
      </c>
      <c r="D6" s="2">
        <f>SUMIF('Recruiter Revenue'!$A:$A,$A6,'Recruiter Revenue'!$E:$E)</f>
        <v>1001167.64</v>
      </c>
      <c r="E6" s="2">
        <f>SUMIF('Recruiter Revenue'!$A:$A,$A6,'Recruiter Revenue'!$F:$F)</f>
        <v>659951.64</v>
      </c>
      <c r="F6" s="2">
        <f>SUMIF('Recruiter Revenue'!$A:$A,$A6,'Recruiter Revenue'!$G:$G)</f>
        <v>295401</v>
      </c>
      <c r="G6" s="2">
        <f>SUMIF('Recruiter Revenue'!$A:$A,$A6,'Recruiter Revenue'!$H:$H)</f>
        <v>45815</v>
      </c>
      <c r="H6" s="2">
        <f>SUMIF('Recruiter Revenue'!$A:$A,$A6,'Recruiter Revenue'!$I:$I)</f>
        <v>0</v>
      </c>
      <c r="I6" s="2">
        <f>SUMIF('Recruiter Revenue'!$A:$A,$A6,'Recruiter Revenue'!$J:$J)</f>
        <v>0</v>
      </c>
      <c r="J6" s="2">
        <f>SUMIF('Recruiter Revenue'!$A:$A,$A6,'Recruiter Revenue'!$K:$K)</f>
        <v>0</v>
      </c>
      <c r="K6" s="2">
        <f>SUMIF('Recruiter Revenue'!$A:$A,$A6,'Recruiter Revenue'!$L:$L)</f>
        <v>1001167.64</v>
      </c>
      <c r="L6" s="5">
        <f>IFERROR(E6/K6,0)</f>
        <v>0.65918195278465053</v>
      </c>
      <c r="M6" s="2">
        <f>IFERROR(D6/C6,0)</f>
        <v>143023.94857142857</v>
      </c>
    </row>
    <row r="7" spans="1:13">
      <c r="A7" s="6" t="s">
        <v>25</v>
      </c>
      <c r="B7" s="6">
        <f t="shared" ref="B7:K7" si="0">SUM(B2:B6)</f>
        <v>88</v>
      </c>
      <c r="C7" s="6">
        <f t="shared" si="0"/>
        <v>527</v>
      </c>
      <c r="D7" s="7">
        <f t="shared" si="0"/>
        <v>53126755.303200006</v>
      </c>
      <c r="E7" s="7">
        <f t="shared" si="0"/>
        <v>35269287.764599994</v>
      </c>
      <c r="F7" s="7">
        <f t="shared" si="0"/>
        <v>12190251.988600001</v>
      </c>
      <c r="G7" s="7">
        <f t="shared" si="0"/>
        <v>5406246.0499999998</v>
      </c>
      <c r="H7" s="7">
        <f t="shared" si="0"/>
        <v>0</v>
      </c>
      <c r="I7" s="7">
        <f t="shared" si="0"/>
        <v>214875.5</v>
      </c>
      <c r="J7" s="7">
        <f t="shared" si="0"/>
        <v>46094</v>
      </c>
      <c r="K7" s="7">
        <f t="shared" si="0"/>
        <v>52865785.803200006</v>
      </c>
      <c r="L7" s="8">
        <f t="shared" ref="L2:L7" si="1">IFERROR(E7/K7,0)</f>
        <v>0.66714770675867108</v>
      </c>
      <c r="M7" s="7">
        <f t="shared" ref="M2:M7" si="2">IFERROR(D7/C7,0)</f>
        <v>100809.78235901329</v>
      </c>
    </row>
    <row r="11" spans="1:13">
      <c r="D11" s="12"/>
    </row>
  </sheetData>
  <conditionalFormatting sqref="L2:L6">
    <cfRule type="dataBar" priority="1">
      <dataBar>
        <cfvo type="min"/>
        <cfvo type="max"/>
        <color rgb="FF2F75B5"/>
      </dataBar>
    </cfRule>
    <cfRule type="dataBar" priority="2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{B26DB52E-2041-1C32-2286-34868A444257}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6DB52E-2041-1C32-2286-34868A444257}">
            <x14:dataBar>
              <x14:cfvo type="min"/>
              <x14:cfvo type="max"/>
              <x14:negativeFillColor auto="1"/>
              <x14:axisColor auto="1"/>
            </x14:dataBar>
          </x14:cfRule>
          <xm:sqref>L2:L6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"/>
  <sheetViews>
    <sheetView workbookViewId="0">
      <selection activeCell="D19" sqref="D19"/>
    </sheetView>
  </sheetViews>
  <sheetFormatPr defaultRowHeight="13.8"/>
  <cols>
    <col min="1" max="1" width="14" customWidth="1"/>
    <col min="2" max="2" width="20" customWidth="1"/>
    <col min="3" max="3" width="29" customWidth="1"/>
    <col min="4" max="4" width="11" customWidth="1"/>
    <col min="5" max="12" width="17" customWidth="1"/>
    <col min="13" max="13" width="13" customWidth="1"/>
    <col min="14" max="14" width="20" customWidth="1"/>
  </cols>
  <sheetData>
    <row r="1" spans="1:14" ht="27.6">
      <c r="A1" s="1" t="s">
        <v>3</v>
      </c>
      <c r="B1" s="1" t="s">
        <v>26</v>
      </c>
      <c r="C1" s="1" t="s">
        <v>27</v>
      </c>
      <c r="D1" s="1" t="s">
        <v>7</v>
      </c>
      <c r="E1" s="1" t="s">
        <v>6</v>
      </c>
      <c r="F1" s="1" t="s">
        <v>4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14</v>
      </c>
      <c r="M1" s="1" t="s">
        <v>15</v>
      </c>
      <c r="N1" s="1" t="s">
        <v>24</v>
      </c>
    </row>
    <row r="2" spans="1:14">
      <c r="A2" t="s">
        <v>10</v>
      </c>
      <c r="B2" t="s">
        <v>40</v>
      </c>
      <c r="C2" t="s">
        <v>47</v>
      </c>
      <c r="D2">
        <f>COUNTIFS('Sorted Data'!$C:$C,$A2,'Sorted Data'!$E:$E,$B2,'Sorted Data'!$G:$G,$C2)</f>
        <v>36</v>
      </c>
      <c r="E2" s="2">
        <f>SUMIFS('Sorted Data'!$Q:$Q,'Sorted Data'!$C:$C,$A2,'Sorted Data'!$E:$E,$B2,'Sorted Data'!$G:$G,$C2)</f>
        <v>3069553.1846000007</v>
      </c>
      <c r="F2" s="2">
        <f>SUMIFS('Sorted Data'!$Q:$Q,'Sorted Data'!$C:$C,$A2,'Sorted Data'!$E:$E,$B2,'Sorted Data'!$G:$G,$C2,'Sorted Data'!$T:$T,"Payment Received")</f>
        <v>2249970.7845999999</v>
      </c>
      <c r="G2" s="2">
        <f>SUMIFS('Sorted Data'!$Q:$Q,'Sorted Data'!$C:$C,$A2,'Sorted Data'!$E:$E,$B2,'Sorted Data'!$G:$G,$C2,'Sorted Data'!$T:$T,"PP")</f>
        <v>522902.4</v>
      </c>
      <c r="H2" s="2">
        <f>SUMIFS('Sorted Data'!$Q:$Q,'Sorted Data'!$C:$C,$A2,'Sorted Data'!$E:$E,$B2,'Sorted Data'!$G:$G,$C2,'Sorted Data'!$T:$T,"IP")</f>
        <v>260000</v>
      </c>
      <c r="I2" s="2">
        <f>SUMIFS('Sorted Data'!$Q:$Q,'Sorted Data'!$C:$C,$A2,'Sorted Data'!$E:$E,$B2,'Sorted Data'!$G:$G,$C2,'Sorted Data'!$T:$T,"Backout")</f>
        <v>0</v>
      </c>
      <c r="J2" s="2">
        <f>SUMIFS('Sorted Data'!$Q:$Q,'Sorted Data'!$C:$C,$A2,'Sorted Data'!$E:$E,$B2,'Sorted Data'!$G:$G,$C2,'Sorted Data'!$T:$T,"Credit Note")</f>
        <v>36680</v>
      </c>
      <c r="K2" s="2">
        <f>SUMIFS('Sorted Data'!$Q:$Q,'Sorted Data'!$C:$C,$A2,'Sorted Data'!$E:$E,$B2,'Sorted Data'!$G:$G,$C2,'Sorted Data'!$T:$T,"Other / Review")</f>
        <v>0</v>
      </c>
      <c r="L2" s="2">
        <f>F2+G2+H2</f>
        <v>3032873.1845999998</v>
      </c>
      <c r="M2" s="5">
        <f>IFERROR(F2/L2,0)</f>
        <v>0.74186114870369846</v>
      </c>
      <c r="N2" s="2">
        <f>IFERROR(E2/D2,0)</f>
        <v>85265.366238888906</v>
      </c>
    </row>
    <row r="3" spans="1:14">
      <c r="A3" t="s">
        <v>10</v>
      </c>
      <c r="B3" t="s">
        <v>40</v>
      </c>
      <c r="C3" t="s">
        <v>41</v>
      </c>
      <c r="D3">
        <f>COUNTIFS('Sorted Data'!$C:$C,$A3,'Sorted Data'!$E:$E,$B3,'Sorted Data'!$G:$G,$C3)</f>
        <v>9</v>
      </c>
      <c r="E3" s="2">
        <f>SUMIFS('Sorted Data'!$Q:$Q,'Sorted Data'!$C:$C,$A3,'Sorted Data'!$E:$E,$B3,'Sorted Data'!$G:$G,$C3)</f>
        <v>2722140.96</v>
      </c>
      <c r="F3" s="2">
        <f>SUMIFS('Sorted Data'!$Q:$Q,'Sorted Data'!$C:$C,$A3,'Sorted Data'!$E:$E,$B3,'Sorted Data'!$G:$G,$C3,'Sorted Data'!$T:$T,"Payment Received")</f>
        <v>900140.96000000008</v>
      </c>
      <c r="G3" s="2">
        <f>SUMIFS('Sorted Data'!$Q:$Q,'Sorted Data'!$C:$C,$A3,'Sorted Data'!$E:$E,$B3,'Sorted Data'!$G:$G,$C3,'Sorted Data'!$T:$T,"PP")</f>
        <v>1422000</v>
      </c>
      <c r="H3" s="2">
        <f>SUMIFS('Sorted Data'!$Q:$Q,'Sorted Data'!$C:$C,$A3,'Sorted Data'!$E:$E,$B3,'Sorted Data'!$G:$G,$C3,'Sorted Data'!$T:$T,"IP")</f>
        <v>400000</v>
      </c>
      <c r="I3" s="2">
        <f>SUMIFS('Sorted Data'!$Q:$Q,'Sorted Data'!$C:$C,$A3,'Sorted Data'!$E:$E,$B3,'Sorted Data'!$G:$G,$C3,'Sorted Data'!$T:$T,"Backout")</f>
        <v>0</v>
      </c>
      <c r="J3" s="2">
        <f>SUMIFS('Sorted Data'!$Q:$Q,'Sorted Data'!$C:$C,$A3,'Sorted Data'!$E:$E,$B3,'Sorted Data'!$G:$G,$C3,'Sorted Data'!$T:$T,"Credit Note")</f>
        <v>0</v>
      </c>
      <c r="K3" s="2">
        <f>SUMIFS('Sorted Data'!$Q:$Q,'Sorted Data'!$C:$C,$A3,'Sorted Data'!$E:$E,$B3,'Sorted Data'!$G:$G,$C3,'Sorted Data'!$T:$T,"Other / Review")</f>
        <v>0</v>
      </c>
      <c r="L3" s="2">
        <f>F3+G3+H3</f>
        <v>2722140.96</v>
      </c>
      <c r="M3" s="5">
        <f>IFERROR(F3/L3,0)</f>
        <v>0.33067389721067203</v>
      </c>
      <c r="N3" s="2">
        <f>IFERROR(E3/D3,0)</f>
        <v>302460.10666666669</v>
      </c>
    </row>
    <row r="4" spans="1:14">
      <c r="A4" t="s">
        <v>12</v>
      </c>
      <c r="B4" t="s">
        <v>75</v>
      </c>
      <c r="C4" t="s">
        <v>83</v>
      </c>
      <c r="D4">
        <f>COUNTIFS('Sorted Data'!$C:$C,$A4,'Sorted Data'!$E:$E,$B4,'Sorted Data'!$G:$G,$C4)</f>
        <v>12</v>
      </c>
      <c r="E4" s="2">
        <f>SUMIFS('Sorted Data'!$Q:$Q,'Sorted Data'!$C:$C,$A4,'Sorted Data'!$E:$E,$B4,'Sorted Data'!$G:$G,$C4)</f>
        <v>2584816.7210999997</v>
      </c>
      <c r="F4" s="2">
        <f>SUMIFS('Sorted Data'!$Q:$Q,'Sorted Data'!$C:$C,$A4,'Sorted Data'!$E:$E,$B4,'Sorted Data'!$G:$G,$C4,'Sorted Data'!$T:$T,"Payment Received")</f>
        <v>1188266.7711</v>
      </c>
      <c r="G4" s="2">
        <f>SUMIFS('Sorted Data'!$Q:$Q,'Sorted Data'!$C:$C,$A4,'Sorted Data'!$E:$E,$B4,'Sorted Data'!$G:$G,$C4,'Sorted Data'!$T:$T,"PP")</f>
        <v>1396549.95</v>
      </c>
      <c r="H4" s="2">
        <f>SUMIFS('Sorted Data'!$Q:$Q,'Sorted Data'!$C:$C,$A4,'Sorted Data'!$E:$E,$B4,'Sorted Data'!$G:$G,$C4,'Sorted Data'!$T:$T,"IP")</f>
        <v>0</v>
      </c>
      <c r="I4" s="2">
        <f>SUMIFS('Sorted Data'!$Q:$Q,'Sorted Data'!$C:$C,$A4,'Sorted Data'!$E:$E,$B4,'Sorted Data'!$G:$G,$C4,'Sorted Data'!$T:$T,"Backout")</f>
        <v>0</v>
      </c>
      <c r="J4" s="2">
        <f>SUMIFS('Sorted Data'!$Q:$Q,'Sorted Data'!$C:$C,$A4,'Sorted Data'!$E:$E,$B4,'Sorted Data'!$G:$G,$C4,'Sorted Data'!$T:$T,"Credit Note")</f>
        <v>0</v>
      </c>
      <c r="K4" s="2">
        <f>SUMIFS('Sorted Data'!$Q:$Q,'Sorted Data'!$C:$C,$A4,'Sorted Data'!$E:$E,$B4,'Sorted Data'!$G:$G,$C4,'Sorted Data'!$T:$T,"Other / Review")</f>
        <v>0</v>
      </c>
      <c r="L4" s="2">
        <f>F4+G4+H4</f>
        <v>2584816.7210999997</v>
      </c>
      <c r="M4" s="5">
        <f>IFERROR(F4/L4,0)</f>
        <v>0.45971026162130318</v>
      </c>
      <c r="N4" s="2">
        <f>IFERROR(E4/D4,0)</f>
        <v>215401.39342499999</v>
      </c>
    </row>
    <row r="5" spans="1:14">
      <c r="A5" t="s">
        <v>12</v>
      </c>
      <c r="B5" t="s">
        <v>75</v>
      </c>
      <c r="C5" t="s">
        <v>78</v>
      </c>
      <c r="D5">
        <f>COUNTIFS('Sorted Data'!$C:$C,$A5,'Sorted Data'!$E:$E,$B5,'Sorted Data'!$G:$G,$C5)</f>
        <v>13</v>
      </c>
      <c r="E5" s="2">
        <f>SUMIFS('Sorted Data'!$Q:$Q,'Sorted Data'!$C:$C,$A5,'Sorted Data'!$E:$E,$B5,'Sorted Data'!$G:$G,$C5)</f>
        <v>2469999.5</v>
      </c>
      <c r="F5" s="2">
        <f>SUMIFS('Sorted Data'!$Q:$Q,'Sorted Data'!$C:$C,$A5,'Sorted Data'!$E:$E,$B5,'Sorted Data'!$G:$G,$C5,'Sorted Data'!$T:$T,"Payment Received")</f>
        <v>1243825.5</v>
      </c>
      <c r="G5" s="2">
        <f>SUMIFS('Sorted Data'!$Q:$Q,'Sorted Data'!$C:$C,$A5,'Sorted Data'!$E:$E,$B5,'Sorted Data'!$G:$G,$C5,'Sorted Data'!$T:$T,"PP")</f>
        <v>1056174</v>
      </c>
      <c r="H5" s="2">
        <f>SUMIFS('Sorted Data'!$Q:$Q,'Sorted Data'!$C:$C,$A5,'Sorted Data'!$E:$E,$B5,'Sorted Data'!$G:$G,$C5,'Sorted Data'!$T:$T,"IP")</f>
        <v>170000</v>
      </c>
      <c r="I5" s="2">
        <f>SUMIFS('Sorted Data'!$Q:$Q,'Sorted Data'!$C:$C,$A5,'Sorted Data'!$E:$E,$B5,'Sorted Data'!$G:$G,$C5,'Sorted Data'!$T:$T,"Backout")</f>
        <v>0</v>
      </c>
      <c r="J5" s="2">
        <f>SUMIFS('Sorted Data'!$Q:$Q,'Sorted Data'!$C:$C,$A5,'Sorted Data'!$E:$E,$B5,'Sorted Data'!$G:$G,$C5,'Sorted Data'!$T:$T,"Credit Note")</f>
        <v>0</v>
      </c>
      <c r="K5" s="2">
        <f>SUMIFS('Sorted Data'!$Q:$Q,'Sorted Data'!$C:$C,$A5,'Sorted Data'!$E:$E,$B5,'Sorted Data'!$G:$G,$C5,'Sorted Data'!$T:$T,"Other / Review")</f>
        <v>0</v>
      </c>
      <c r="L5" s="2">
        <f>F5+G5+H5</f>
        <v>2469999.5</v>
      </c>
      <c r="M5" s="5">
        <f>IFERROR(F5/L5,0)</f>
        <v>0.50357317886096742</v>
      </c>
      <c r="N5" s="2">
        <f>IFERROR(E5/D5,0)</f>
        <v>189999.96153846153</v>
      </c>
    </row>
    <row r="6" spans="1:14">
      <c r="A6" t="s">
        <v>10</v>
      </c>
      <c r="B6" t="s">
        <v>40</v>
      </c>
      <c r="C6" t="s">
        <v>55</v>
      </c>
      <c r="D6">
        <f>COUNTIFS('Sorted Data'!$C:$C,$A6,'Sorted Data'!$E:$E,$B6,'Sorted Data'!$G:$G,$C6)</f>
        <v>11</v>
      </c>
      <c r="E6" s="2">
        <f>SUMIFS('Sorted Data'!$Q:$Q,'Sorted Data'!$C:$C,$A6,'Sorted Data'!$E:$E,$B6,'Sorted Data'!$G:$G,$C6)</f>
        <v>2163653.1</v>
      </c>
      <c r="F6" s="2">
        <f>SUMIFS('Sorted Data'!$Q:$Q,'Sorted Data'!$C:$C,$A6,'Sorted Data'!$E:$E,$B6,'Sorted Data'!$G:$G,$C6,'Sorted Data'!$T:$T,"Payment Received")</f>
        <v>1560433.6</v>
      </c>
      <c r="G6" s="2">
        <f>SUMIFS('Sorted Data'!$Q:$Q,'Sorted Data'!$C:$C,$A6,'Sorted Data'!$E:$E,$B6,'Sorted Data'!$G:$G,$C6,'Sorted Data'!$T:$T,"PP")</f>
        <v>527000</v>
      </c>
      <c r="H6" s="2">
        <f>SUMIFS('Sorted Data'!$Q:$Q,'Sorted Data'!$C:$C,$A6,'Sorted Data'!$E:$E,$B6,'Sorted Data'!$G:$G,$C6,'Sorted Data'!$T:$T,"IP")</f>
        <v>0</v>
      </c>
      <c r="I6" s="2">
        <f>SUMIFS('Sorted Data'!$Q:$Q,'Sorted Data'!$C:$C,$A6,'Sorted Data'!$E:$E,$B6,'Sorted Data'!$G:$G,$C6,'Sorted Data'!$T:$T,"Backout")</f>
        <v>0</v>
      </c>
      <c r="J6" s="2">
        <f>SUMIFS('Sorted Data'!$Q:$Q,'Sorted Data'!$C:$C,$A6,'Sorted Data'!$E:$E,$B6,'Sorted Data'!$G:$G,$C6,'Sorted Data'!$T:$T,"Credit Note")</f>
        <v>76219.5</v>
      </c>
      <c r="K6" s="2">
        <f>SUMIFS('Sorted Data'!$Q:$Q,'Sorted Data'!$C:$C,$A6,'Sorted Data'!$E:$E,$B6,'Sorted Data'!$G:$G,$C6,'Sorted Data'!$T:$T,"Other / Review")</f>
        <v>0</v>
      </c>
      <c r="L6" s="2">
        <f>F6+G6+H6</f>
        <v>2087433.6</v>
      </c>
      <c r="M6" s="5">
        <f>IFERROR(F6/L6,0)</f>
        <v>0.74753687973595906</v>
      </c>
      <c r="N6" s="2">
        <f>IFERROR(E6/D6,0)</f>
        <v>196695.73636363636</v>
      </c>
    </row>
    <row r="7" spans="1:14">
      <c r="A7" t="s">
        <v>12</v>
      </c>
      <c r="B7" t="s">
        <v>75</v>
      </c>
      <c r="C7" t="s">
        <v>92</v>
      </c>
      <c r="D7">
        <f>COUNTIFS('Sorted Data'!$C:$C,$A7,'Sorted Data'!$E:$E,$B7,'Sorted Data'!$G:$G,$C7)</f>
        <v>23</v>
      </c>
      <c r="E7" s="2">
        <f>SUMIFS('Sorted Data'!$Q:$Q,'Sorted Data'!$C:$C,$A7,'Sorted Data'!$E:$E,$B7,'Sorted Data'!$G:$G,$C7)</f>
        <v>2095497.7630999999</v>
      </c>
      <c r="F7" s="2">
        <f>SUMIFS('Sorted Data'!$Q:$Q,'Sorted Data'!$C:$C,$A7,'Sorted Data'!$E:$E,$B7,'Sorted Data'!$G:$G,$C7,'Sorted Data'!$T:$T,"Payment Received")</f>
        <v>1655497.7630999999</v>
      </c>
      <c r="G7" s="2">
        <f>SUMIFS('Sorted Data'!$Q:$Q,'Sorted Data'!$C:$C,$A7,'Sorted Data'!$E:$E,$B7,'Sorted Data'!$G:$G,$C7,'Sorted Data'!$T:$T,"PP")</f>
        <v>0</v>
      </c>
      <c r="H7" s="2">
        <f>SUMIFS('Sorted Data'!$Q:$Q,'Sorted Data'!$C:$C,$A7,'Sorted Data'!$E:$E,$B7,'Sorted Data'!$G:$G,$C7,'Sorted Data'!$T:$T,"IP")</f>
        <v>440000</v>
      </c>
      <c r="I7" s="2">
        <f>SUMIFS('Sorted Data'!$Q:$Q,'Sorted Data'!$C:$C,$A7,'Sorted Data'!$E:$E,$B7,'Sorted Data'!$G:$G,$C7,'Sorted Data'!$T:$T,"Backout")</f>
        <v>0</v>
      </c>
      <c r="J7" s="2">
        <f>SUMIFS('Sorted Data'!$Q:$Q,'Sorted Data'!$C:$C,$A7,'Sorted Data'!$E:$E,$B7,'Sorted Data'!$G:$G,$C7,'Sorted Data'!$T:$T,"Credit Note")</f>
        <v>0</v>
      </c>
      <c r="K7" s="2">
        <f>SUMIFS('Sorted Data'!$Q:$Q,'Sorted Data'!$C:$C,$A7,'Sorted Data'!$E:$E,$B7,'Sorted Data'!$G:$G,$C7,'Sorted Data'!$T:$T,"Other / Review")</f>
        <v>0</v>
      </c>
      <c r="L7" s="2">
        <f>F7+G7+H7</f>
        <v>2095497.7630999999</v>
      </c>
      <c r="M7" s="5">
        <f>IFERROR(F7/L7,0)</f>
        <v>0.79002602257657351</v>
      </c>
      <c r="N7" s="2">
        <f>IFERROR(E7/D7,0)</f>
        <v>91108.598395652167</v>
      </c>
    </row>
    <row r="8" spans="1:14">
      <c r="A8" t="s">
        <v>12</v>
      </c>
      <c r="B8" t="s">
        <v>75</v>
      </c>
      <c r="C8" t="s">
        <v>90</v>
      </c>
      <c r="D8">
        <f>COUNTIFS('Sorted Data'!$C:$C,$A8,'Sorted Data'!$E:$E,$B8,'Sorted Data'!$G:$G,$C8)</f>
        <v>24</v>
      </c>
      <c r="E8" s="2">
        <f>SUMIFS('Sorted Data'!$Q:$Q,'Sorted Data'!$C:$C,$A8,'Sorted Data'!$E:$E,$B8,'Sorted Data'!$G:$G,$C8)</f>
        <v>1959613.5896000001</v>
      </c>
      <c r="F8" s="2">
        <f>SUMIFS('Sorted Data'!$Q:$Q,'Sorted Data'!$C:$C,$A8,'Sorted Data'!$E:$E,$B8,'Sorted Data'!$G:$G,$C8,'Sorted Data'!$T:$T,"Payment Received")</f>
        <v>666063.46799999999</v>
      </c>
      <c r="G8" s="2">
        <f>SUMIFS('Sorted Data'!$Q:$Q,'Sorted Data'!$C:$C,$A8,'Sorted Data'!$E:$E,$B8,'Sorted Data'!$G:$G,$C8,'Sorted Data'!$T:$T,"PP")</f>
        <v>511550.12159999995</v>
      </c>
      <c r="H8" s="2">
        <f>SUMIFS('Sorted Data'!$Q:$Q,'Sorted Data'!$C:$C,$A8,'Sorted Data'!$E:$E,$B8,'Sorted Data'!$G:$G,$C8,'Sorted Data'!$T:$T,"IP")</f>
        <v>782000</v>
      </c>
      <c r="I8" s="2">
        <f>SUMIFS('Sorted Data'!$Q:$Q,'Sorted Data'!$C:$C,$A8,'Sorted Data'!$E:$E,$B8,'Sorted Data'!$G:$G,$C8,'Sorted Data'!$T:$T,"Backout")</f>
        <v>0</v>
      </c>
      <c r="J8" s="2">
        <f>SUMIFS('Sorted Data'!$Q:$Q,'Sorted Data'!$C:$C,$A8,'Sorted Data'!$E:$E,$B8,'Sorted Data'!$G:$G,$C8,'Sorted Data'!$T:$T,"Credit Note")</f>
        <v>0</v>
      </c>
      <c r="K8" s="2">
        <f>SUMIFS('Sorted Data'!$Q:$Q,'Sorted Data'!$C:$C,$A8,'Sorted Data'!$E:$E,$B8,'Sorted Data'!$G:$G,$C8,'Sorted Data'!$T:$T,"Other / Review")</f>
        <v>0</v>
      </c>
      <c r="L8" s="2">
        <f>F8+G8+H8</f>
        <v>1959613.5896000001</v>
      </c>
      <c r="M8" s="5">
        <f>IFERROR(F8/L8,0)</f>
        <v>0.33989530973601695</v>
      </c>
      <c r="N8" s="2">
        <f>IFERROR(E8/D8,0)</f>
        <v>81650.566233333331</v>
      </c>
    </row>
    <row r="9" spans="1:14">
      <c r="A9" t="s">
        <v>10</v>
      </c>
      <c r="B9" t="s">
        <v>40</v>
      </c>
      <c r="C9" t="s">
        <v>32</v>
      </c>
      <c r="D9">
        <f>COUNTIFS('Sorted Data'!$C:$C,$A9,'Sorted Data'!$E:$E,$B9,'Sorted Data'!$G:$G,$C9)</f>
        <v>26</v>
      </c>
      <c r="E9" s="2">
        <f>SUMIFS('Sorted Data'!$Q:$Q,'Sorted Data'!$C:$C,$A9,'Sorted Data'!$E:$E,$B9,'Sorted Data'!$G:$G,$C9)</f>
        <v>1845336.72</v>
      </c>
      <c r="F9" s="2">
        <f>SUMIFS('Sorted Data'!$Q:$Q,'Sorted Data'!$C:$C,$A9,'Sorted Data'!$E:$E,$B9,'Sorted Data'!$G:$G,$C9,'Sorted Data'!$T:$T,"Payment Received")</f>
        <v>1455336.72</v>
      </c>
      <c r="G9" s="2">
        <f>SUMIFS('Sorted Data'!$Q:$Q,'Sorted Data'!$C:$C,$A9,'Sorted Data'!$E:$E,$B9,'Sorted Data'!$G:$G,$C9,'Sorted Data'!$T:$T,"PP")</f>
        <v>348000</v>
      </c>
      <c r="H9" s="2">
        <f>SUMIFS('Sorted Data'!$Q:$Q,'Sorted Data'!$C:$C,$A9,'Sorted Data'!$E:$E,$B9,'Sorted Data'!$G:$G,$C9,'Sorted Data'!$T:$T,"IP")</f>
        <v>0</v>
      </c>
      <c r="I9" s="2">
        <f>SUMIFS('Sorted Data'!$Q:$Q,'Sorted Data'!$C:$C,$A9,'Sorted Data'!$E:$E,$B9,'Sorted Data'!$G:$G,$C9,'Sorted Data'!$T:$T,"Backout")</f>
        <v>0</v>
      </c>
      <c r="J9" s="2">
        <f>SUMIFS('Sorted Data'!$Q:$Q,'Sorted Data'!$C:$C,$A9,'Sorted Data'!$E:$E,$B9,'Sorted Data'!$G:$G,$C9,'Sorted Data'!$T:$T,"Credit Note")</f>
        <v>42000</v>
      </c>
      <c r="K9" s="2">
        <f>SUMIFS('Sorted Data'!$Q:$Q,'Sorted Data'!$C:$C,$A9,'Sorted Data'!$E:$E,$B9,'Sorted Data'!$G:$G,$C9,'Sorted Data'!$T:$T,"Other / Review")</f>
        <v>0</v>
      </c>
      <c r="L9" s="2">
        <f>F9+G9+H9</f>
        <v>1803336.72</v>
      </c>
      <c r="M9" s="5">
        <f>IFERROR(F9/L9,0)</f>
        <v>0.80702439198376663</v>
      </c>
      <c r="N9" s="2">
        <f>IFERROR(E9/D9,0)</f>
        <v>70974.489230769235</v>
      </c>
    </row>
    <row r="10" spans="1:14">
      <c r="A10" t="s">
        <v>8</v>
      </c>
      <c r="B10" t="s">
        <v>30</v>
      </c>
      <c r="C10" t="s">
        <v>32</v>
      </c>
      <c r="D10">
        <f>COUNTIFS('Sorted Data'!$C:$C,$A10,'Sorted Data'!$E:$E,$B10,'Sorted Data'!$G:$G,$C10)</f>
        <v>4</v>
      </c>
      <c r="E10" s="2">
        <f>SUMIFS('Sorted Data'!$Q:$Q,'Sorted Data'!$C:$C,$A10,'Sorted Data'!$E:$E,$B10,'Sorted Data'!$G:$G,$C10)</f>
        <v>1690880</v>
      </c>
      <c r="F10" s="2">
        <f>SUMIFS('Sorted Data'!$Q:$Q,'Sorted Data'!$C:$C,$A10,'Sorted Data'!$E:$E,$B10,'Sorted Data'!$G:$G,$C10,'Sorted Data'!$T:$T,"Payment Received")</f>
        <v>1024000</v>
      </c>
      <c r="G10" s="2">
        <f>SUMIFS('Sorted Data'!$Q:$Q,'Sorted Data'!$C:$C,$A10,'Sorted Data'!$E:$E,$B10,'Sorted Data'!$G:$G,$C10,'Sorted Data'!$T:$T,"PP")</f>
        <v>666880</v>
      </c>
      <c r="H10" s="2">
        <f>SUMIFS('Sorted Data'!$Q:$Q,'Sorted Data'!$C:$C,$A10,'Sorted Data'!$E:$E,$B10,'Sorted Data'!$G:$G,$C10,'Sorted Data'!$T:$T,"IP")</f>
        <v>0</v>
      </c>
      <c r="I10" s="2">
        <f>SUMIFS('Sorted Data'!$Q:$Q,'Sorted Data'!$C:$C,$A10,'Sorted Data'!$E:$E,$B10,'Sorted Data'!$G:$G,$C10,'Sorted Data'!$T:$T,"Backout")</f>
        <v>0</v>
      </c>
      <c r="J10" s="2">
        <f>SUMIFS('Sorted Data'!$Q:$Q,'Sorted Data'!$C:$C,$A10,'Sorted Data'!$E:$E,$B10,'Sorted Data'!$G:$G,$C10,'Sorted Data'!$T:$T,"Credit Note")</f>
        <v>0</v>
      </c>
      <c r="K10" s="2">
        <f>SUMIFS('Sorted Data'!$Q:$Q,'Sorted Data'!$C:$C,$A10,'Sorted Data'!$E:$E,$B10,'Sorted Data'!$G:$G,$C10,'Sorted Data'!$T:$T,"Other / Review")</f>
        <v>0</v>
      </c>
      <c r="L10" s="2">
        <f>F10+G10+H10</f>
        <v>1690880</v>
      </c>
      <c r="M10" s="5">
        <f>IFERROR(F10/L10,0)</f>
        <v>0.60560181680545044</v>
      </c>
      <c r="N10" s="2">
        <f>IFERROR(E10/D10,0)</f>
        <v>422720</v>
      </c>
    </row>
    <row r="11" spans="1:14">
      <c r="A11" t="s">
        <v>10</v>
      </c>
      <c r="B11" t="s">
        <v>40</v>
      </c>
      <c r="C11" t="s">
        <v>53</v>
      </c>
      <c r="D11">
        <f>COUNTIFS('Sorted Data'!$C:$C,$A11,'Sorted Data'!$E:$E,$B11,'Sorted Data'!$G:$G,$C11)</f>
        <v>14</v>
      </c>
      <c r="E11" s="2">
        <f>SUMIFS('Sorted Data'!$Q:$Q,'Sorted Data'!$C:$C,$A11,'Sorted Data'!$E:$E,$B11,'Sorted Data'!$G:$G,$C11)</f>
        <v>1541860.8387000002</v>
      </c>
      <c r="F11" s="2">
        <f>SUMIFS('Sorted Data'!$Q:$Q,'Sorted Data'!$C:$C,$A11,'Sorted Data'!$E:$E,$B11,'Sorted Data'!$G:$G,$C11,'Sorted Data'!$T:$T,"Payment Received")</f>
        <v>1390813.5087000001</v>
      </c>
      <c r="G11" s="2">
        <f>SUMIFS('Sorted Data'!$Q:$Q,'Sorted Data'!$C:$C,$A11,'Sorted Data'!$E:$E,$B11,'Sorted Data'!$G:$G,$C11,'Sorted Data'!$T:$T,"PP")</f>
        <v>104953.33</v>
      </c>
      <c r="H11" s="2">
        <f>SUMIFS('Sorted Data'!$Q:$Q,'Sorted Data'!$C:$C,$A11,'Sorted Data'!$E:$E,$B11,'Sorted Data'!$G:$G,$C11,'Sorted Data'!$T:$T,"IP")</f>
        <v>0</v>
      </c>
      <c r="I11" s="2">
        <f>SUMIFS('Sorted Data'!$Q:$Q,'Sorted Data'!$C:$C,$A11,'Sorted Data'!$E:$E,$B11,'Sorted Data'!$G:$G,$C11,'Sorted Data'!$T:$T,"Backout")</f>
        <v>0</v>
      </c>
      <c r="J11" s="2">
        <f>SUMIFS('Sorted Data'!$Q:$Q,'Sorted Data'!$C:$C,$A11,'Sorted Data'!$E:$E,$B11,'Sorted Data'!$G:$G,$C11,'Sorted Data'!$T:$T,"Credit Note")</f>
        <v>0</v>
      </c>
      <c r="K11" s="2">
        <f>SUMIFS('Sorted Data'!$Q:$Q,'Sorted Data'!$C:$C,$A11,'Sorted Data'!$E:$E,$B11,'Sorted Data'!$G:$G,$C11,'Sorted Data'!$T:$T,"Other / Review")</f>
        <v>46094</v>
      </c>
      <c r="L11" s="2">
        <f>F11+G11+H11</f>
        <v>1495766.8387000002</v>
      </c>
      <c r="M11" s="5">
        <f>IFERROR(F11/L11,0)</f>
        <v>0.92983309478152554</v>
      </c>
      <c r="N11" s="2">
        <f>IFERROR(E11/D11,0)</f>
        <v>110132.91705000002</v>
      </c>
    </row>
    <row r="12" spans="1:14">
      <c r="A12" t="s">
        <v>10</v>
      </c>
      <c r="B12" t="s">
        <v>40</v>
      </c>
      <c r="C12" t="s">
        <v>42</v>
      </c>
      <c r="D12">
        <f>COUNTIFS('Sorted Data'!$C:$C,$A12,'Sorted Data'!$E:$E,$B12,'Sorted Data'!$G:$G,$C12)</f>
        <v>17</v>
      </c>
      <c r="E12" s="2">
        <f>SUMIFS('Sorted Data'!$Q:$Q,'Sorted Data'!$C:$C,$A12,'Sorted Data'!$E:$E,$B12,'Sorted Data'!$G:$G,$C12)</f>
        <v>1392750.4649</v>
      </c>
      <c r="F12" s="2">
        <f>SUMIFS('Sorted Data'!$Q:$Q,'Sorted Data'!$C:$C,$A12,'Sorted Data'!$E:$E,$B12,'Sorted Data'!$G:$G,$C12,'Sorted Data'!$T:$T,"Payment Received")</f>
        <v>1200624.5349000001</v>
      </c>
      <c r="G12" s="2">
        <f>SUMIFS('Sorted Data'!$Q:$Q,'Sorted Data'!$C:$C,$A12,'Sorted Data'!$E:$E,$B12,'Sorted Data'!$G:$G,$C12,'Sorted Data'!$T:$T,"PP")</f>
        <v>120125.93</v>
      </c>
      <c r="H12" s="2">
        <f>SUMIFS('Sorted Data'!$Q:$Q,'Sorted Data'!$C:$C,$A12,'Sorted Data'!$E:$E,$B12,'Sorted Data'!$G:$G,$C12,'Sorted Data'!$T:$T,"IP")</f>
        <v>72000</v>
      </c>
      <c r="I12" s="2">
        <f>SUMIFS('Sorted Data'!$Q:$Q,'Sorted Data'!$C:$C,$A12,'Sorted Data'!$E:$E,$B12,'Sorted Data'!$G:$G,$C12,'Sorted Data'!$T:$T,"Backout")</f>
        <v>0</v>
      </c>
      <c r="J12" s="2">
        <f>SUMIFS('Sorted Data'!$Q:$Q,'Sorted Data'!$C:$C,$A12,'Sorted Data'!$E:$E,$B12,'Sorted Data'!$G:$G,$C12,'Sorted Data'!$T:$T,"Credit Note")</f>
        <v>0</v>
      </c>
      <c r="K12" s="2">
        <f>SUMIFS('Sorted Data'!$Q:$Q,'Sorted Data'!$C:$C,$A12,'Sorted Data'!$E:$E,$B12,'Sorted Data'!$G:$G,$C12,'Sorted Data'!$T:$T,"Other / Review")</f>
        <v>0</v>
      </c>
      <c r="L12" s="2">
        <f>F12+G12+H12</f>
        <v>1392750.4649</v>
      </c>
      <c r="M12" s="5">
        <f>IFERROR(F12/L12,0)</f>
        <v>0.86205286959728666</v>
      </c>
      <c r="N12" s="2">
        <f>IFERROR(E12/D12,0)</f>
        <v>81926.497935294115</v>
      </c>
    </row>
    <row r="13" spans="1:14">
      <c r="A13" t="s">
        <v>8</v>
      </c>
      <c r="B13" t="s">
        <v>28</v>
      </c>
      <c r="C13" t="s">
        <v>33</v>
      </c>
      <c r="D13">
        <f>COUNTIFS('Sorted Data'!$C:$C,$A13,'Sorted Data'!$E:$E,$B13,'Sorted Data'!$G:$G,$C13)</f>
        <v>7</v>
      </c>
      <c r="E13" s="2">
        <f>SUMIFS('Sorted Data'!$Q:$Q,'Sorted Data'!$C:$C,$A13,'Sorted Data'!$E:$E,$B13,'Sorted Data'!$G:$G,$C13)</f>
        <v>1368610.1433999999</v>
      </c>
      <c r="F13" s="2">
        <f>SUMIFS('Sorted Data'!$Q:$Q,'Sorted Data'!$C:$C,$A13,'Sorted Data'!$E:$E,$B13,'Sorted Data'!$G:$G,$C13,'Sorted Data'!$T:$T,"Payment Received")</f>
        <v>1029418.8034</v>
      </c>
      <c r="G13" s="2">
        <f>SUMIFS('Sorted Data'!$Q:$Q,'Sorted Data'!$C:$C,$A13,'Sorted Data'!$E:$E,$B13,'Sorted Data'!$G:$G,$C13,'Sorted Data'!$T:$T,"PP")</f>
        <v>33320</v>
      </c>
      <c r="H13" s="2">
        <f>SUMIFS('Sorted Data'!$Q:$Q,'Sorted Data'!$C:$C,$A13,'Sorted Data'!$E:$E,$B13,'Sorted Data'!$G:$G,$C13,'Sorted Data'!$T:$T,"IP")</f>
        <v>305871.34000000003</v>
      </c>
      <c r="I13" s="2">
        <f>SUMIFS('Sorted Data'!$Q:$Q,'Sorted Data'!$C:$C,$A13,'Sorted Data'!$E:$E,$B13,'Sorted Data'!$G:$G,$C13,'Sorted Data'!$T:$T,"Backout")</f>
        <v>0</v>
      </c>
      <c r="J13" s="2">
        <f>SUMIFS('Sorted Data'!$Q:$Q,'Sorted Data'!$C:$C,$A13,'Sorted Data'!$E:$E,$B13,'Sorted Data'!$G:$G,$C13,'Sorted Data'!$T:$T,"Credit Note")</f>
        <v>0</v>
      </c>
      <c r="K13" s="2">
        <f>SUMIFS('Sorted Data'!$Q:$Q,'Sorted Data'!$C:$C,$A13,'Sorted Data'!$E:$E,$B13,'Sorted Data'!$G:$G,$C13,'Sorted Data'!$T:$T,"Other / Review")</f>
        <v>0</v>
      </c>
      <c r="L13" s="2">
        <f>F13+G13+H13</f>
        <v>1368610.1434000002</v>
      </c>
      <c r="M13" s="5">
        <f>IFERROR(F13/L13,0)</f>
        <v>0.75216365183633915</v>
      </c>
      <c r="N13" s="2">
        <f>IFERROR(E13/D13,0)</f>
        <v>195515.73477142857</v>
      </c>
    </row>
    <row r="14" spans="1:14">
      <c r="A14" t="s">
        <v>10</v>
      </c>
      <c r="B14" t="s">
        <v>40</v>
      </c>
      <c r="C14" t="s">
        <v>52</v>
      </c>
      <c r="D14">
        <f>COUNTIFS('Sorted Data'!$C:$C,$A14,'Sorted Data'!$E:$E,$B14,'Sorted Data'!$G:$G,$C14)</f>
        <v>17</v>
      </c>
      <c r="E14" s="2">
        <f>SUMIFS('Sorted Data'!$Q:$Q,'Sorted Data'!$C:$C,$A14,'Sorted Data'!$E:$E,$B14,'Sorted Data'!$G:$G,$C14)</f>
        <v>1298665.4797999999</v>
      </c>
      <c r="F14" s="2">
        <f>SUMIFS('Sorted Data'!$Q:$Q,'Sorted Data'!$C:$C,$A14,'Sorted Data'!$E:$E,$B14,'Sorted Data'!$G:$G,$C14,'Sorted Data'!$T:$T,"Payment Received")</f>
        <v>940637.22979999997</v>
      </c>
      <c r="G14" s="2">
        <f>SUMIFS('Sorted Data'!$Q:$Q,'Sorted Data'!$C:$C,$A14,'Sorted Data'!$E:$E,$B14,'Sorted Data'!$G:$G,$C14,'Sorted Data'!$T:$T,"PP")</f>
        <v>208028.25</v>
      </c>
      <c r="H14" s="2">
        <f>SUMIFS('Sorted Data'!$Q:$Q,'Sorted Data'!$C:$C,$A14,'Sorted Data'!$E:$E,$B14,'Sorted Data'!$G:$G,$C14,'Sorted Data'!$T:$T,"IP")</f>
        <v>150000</v>
      </c>
      <c r="I14" s="2">
        <f>SUMIFS('Sorted Data'!$Q:$Q,'Sorted Data'!$C:$C,$A14,'Sorted Data'!$E:$E,$B14,'Sorted Data'!$G:$G,$C14,'Sorted Data'!$T:$T,"Backout")</f>
        <v>0</v>
      </c>
      <c r="J14" s="2">
        <f>SUMIFS('Sorted Data'!$Q:$Q,'Sorted Data'!$C:$C,$A14,'Sorted Data'!$E:$E,$B14,'Sorted Data'!$G:$G,$C14,'Sorted Data'!$T:$T,"Credit Note")</f>
        <v>0</v>
      </c>
      <c r="K14" s="2">
        <f>SUMIFS('Sorted Data'!$Q:$Q,'Sorted Data'!$C:$C,$A14,'Sorted Data'!$E:$E,$B14,'Sorted Data'!$G:$G,$C14,'Sorted Data'!$T:$T,"Other / Review")</f>
        <v>0</v>
      </c>
      <c r="L14" s="2">
        <f>F14+G14+H14</f>
        <v>1298665.4797999999</v>
      </c>
      <c r="M14" s="5">
        <f>IFERROR(F14/L14,0)</f>
        <v>0.72431064383482513</v>
      </c>
      <c r="N14" s="2">
        <f>IFERROR(E14/D14,0)</f>
        <v>76392.087047058812</v>
      </c>
    </row>
    <row r="15" spans="1:14">
      <c r="A15" t="s">
        <v>11</v>
      </c>
      <c r="B15" t="s">
        <v>56</v>
      </c>
      <c r="C15" t="s">
        <v>61</v>
      </c>
      <c r="D15">
        <f>COUNTIFS('Sorted Data'!$C:$C,$A15,'Sorted Data'!$E:$E,$B15,'Sorted Data'!$G:$G,$C15)</f>
        <v>20</v>
      </c>
      <c r="E15" s="2">
        <f>SUMIFS('Sorted Data'!$Q:$Q,'Sorted Data'!$C:$C,$A15,'Sorted Data'!$E:$E,$B15,'Sorted Data'!$G:$G,$C15)</f>
        <v>1245632.3364000001</v>
      </c>
      <c r="F15" s="2">
        <f>SUMIFS('Sorted Data'!$Q:$Q,'Sorted Data'!$C:$C,$A15,'Sorted Data'!$E:$E,$B15,'Sorted Data'!$G:$G,$C15,'Sorted Data'!$T:$T,"Payment Received")</f>
        <v>1056853.9364</v>
      </c>
      <c r="G15" s="2">
        <f>SUMIFS('Sorted Data'!$Q:$Q,'Sorted Data'!$C:$C,$A15,'Sorted Data'!$E:$E,$B15,'Sorted Data'!$G:$G,$C15,'Sorted Data'!$T:$T,"PP")</f>
        <v>188778.4</v>
      </c>
      <c r="H15" s="2">
        <f>SUMIFS('Sorted Data'!$Q:$Q,'Sorted Data'!$C:$C,$A15,'Sorted Data'!$E:$E,$B15,'Sorted Data'!$G:$G,$C15,'Sorted Data'!$T:$T,"IP")</f>
        <v>0</v>
      </c>
      <c r="I15" s="2">
        <f>SUMIFS('Sorted Data'!$Q:$Q,'Sorted Data'!$C:$C,$A15,'Sorted Data'!$E:$E,$B15,'Sorted Data'!$G:$G,$C15,'Sorted Data'!$T:$T,"Backout")</f>
        <v>0</v>
      </c>
      <c r="J15" s="2">
        <f>SUMIFS('Sorted Data'!$Q:$Q,'Sorted Data'!$C:$C,$A15,'Sorted Data'!$E:$E,$B15,'Sorted Data'!$G:$G,$C15,'Sorted Data'!$T:$T,"Credit Note")</f>
        <v>0</v>
      </c>
      <c r="K15" s="2">
        <f>SUMIFS('Sorted Data'!$Q:$Q,'Sorted Data'!$C:$C,$A15,'Sorted Data'!$E:$E,$B15,'Sorted Data'!$G:$G,$C15,'Sorted Data'!$T:$T,"Other / Review")</f>
        <v>0</v>
      </c>
      <c r="L15" s="2">
        <f>F15+G15+H15</f>
        <v>1245632.3363999999</v>
      </c>
      <c r="M15" s="5">
        <f>IFERROR(F15/L15,0)</f>
        <v>0.84844773655636774</v>
      </c>
      <c r="N15" s="2">
        <f>IFERROR(E15/D15,0)</f>
        <v>62281.61682000001</v>
      </c>
    </row>
    <row r="16" spans="1:14">
      <c r="A16" t="s">
        <v>11</v>
      </c>
      <c r="B16" t="s">
        <v>56</v>
      </c>
      <c r="C16" t="s">
        <v>64</v>
      </c>
      <c r="D16">
        <f>COUNTIFS('Sorted Data'!$C:$C,$A16,'Sorted Data'!$E:$E,$B16,'Sorted Data'!$G:$G,$C16)</f>
        <v>20</v>
      </c>
      <c r="E16" s="2">
        <f>SUMIFS('Sorted Data'!$Q:$Q,'Sorted Data'!$C:$C,$A16,'Sorted Data'!$E:$E,$B16,'Sorted Data'!$G:$G,$C16)</f>
        <v>1245432.6400000001</v>
      </c>
      <c r="F16" s="2">
        <f>SUMIFS('Sorted Data'!$Q:$Q,'Sorted Data'!$C:$C,$A16,'Sorted Data'!$E:$E,$B16,'Sorted Data'!$G:$G,$C16,'Sorted Data'!$T:$T,"Payment Received")</f>
        <v>1144807.8400000001</v>
      </c>
      <c r="G16" s="2">
        <f>SUMIFS('Sorted Data'!$Q:$Q,'Sorted Data'!$C:$C,$A16,'Sorted Data'!$E:$E,$B16,'Sorted Data'!$G:$G,$C16,'Sorted Data'!$T:$T,"PP")</f>
        <v>100624.8</v>
      </c>
      <c r="H16" s="2">
        <f>SUMIFS('Sorted Data'!$Q:$Q,'Sorted Data'!$C:$C,$A16,'Sorted Data'!$E:$E,$B16,'Sorted Data'!$G:$G,$C16,'Sorted Data'!$T:$T,"IP")</f>
        <v>0</v>
      </c>
      <c r="I16" s="2">
        <f>SUMIFS('Sorted Data'!$Q:$Q,'Sorted Data'!$C:$C,$A16,'Sorted Data'!$E:$E,$B16,'Sorted Data'!$G:$G,$C16,'Sorted Data'!$T:$T,"Backout")</f>
        <v>0</v>
      </c>
      <c r="J16" s="2">
        <f>SUMIFS('Sorted Data'!$Q:$Q,'Sorted Data'!$C:$C,$A16,'Sorted Data'!$E:$E,$B16,'Sorted Data'!$G:$G,$C16,'Sorted Data'!$T:$T,"Credit Note")</f>
        <v>0</v>
      </c>
      <c r="K16" s="2">
        <f>SUMIFS('Sorted Data'!$Q:$Q,'Sorted Data'!$C:$C,$A16,'Sorted Data'!$E:$E,$B16,'Sorted Data'!$G:$G,$C16,'Sorted Data'!$T:$T,"Other / Review")</f>
        <v>0</v>
      </c>
      <c r="L16" s="2">
        <f>F16+G16+H16</f>
        <v>1245432.6400000001</v>
      </c>
      <c r="M16" s="5">
        <f>IFERROR(F16/L16,0)</f>
        <v>0.91920494391410845</v>
      </c>
      <c r="N16" s="2">
        <f>IFERROR(E16/D16,0)</f>
        <v>62271.632000000005</v>
      </c>
    </row>
    <row r="17" spans="1:14">
      <c r="A17" t="s">
        <v>11</v>
      </c>
      <c r="B17" t="s">
        <v>56</v>
      </c>
      <c r="C17" t="s">
        <v>56</v>
      </c>
      <c r="D17">
        <f>COUNTIFS('Sorted Data'!$C:$C,$A17,'Sorted Data'!$E:$E,$B17,'Sorted Data'!$G:$G,$C17)</f>
        <v>9</v>
      </c>
      <c r="E17" s="2">
        <f>SUMIFS('Sorted Data'!$Q:$Q,'Sorted Data'!$C:$C,$A17,'Sorted Data'!$E:$E,$B17,'Sorted Data'!$G:$G,$C17)</f>
        <v>1099516.4964000001</v>
      </c>
      <c r="F17" s="2">
        <f>SUMIFS('Sorted Data'!$Q:$Q,'Sorted Data'!$C:$C,$A17,'Sorted Data'!$E:$E,$B17,'Sorted Data'!$G:$G,$C17,'Sorted Data'!$T:$T,"Payment Received")</f>
        <v>1099516.4964000001</v>
      </c>
      <c r="G17" s="2">
        <f>SUMIFS('Sorted Data'!$Q:$Q,'Sorted Data'!$C:$C,$A17,'Sorted Data'!$E:$E,$B17,'Sorted Data'!$G:$G,$C17,'Sorted Data'!$T:$T,"PP")</f>
        <v>0</v>
      </c>
      <c r="H17" s="2">
        <f>SUMIFS('Sorted Data'!$Q:$Q,'Sorted Data'!$C:$C,$A17,'Sorted Data'!$E:$E,$B17,'Sorted Data'!$G:$G,$C17,'Sorted Data'!$T:$T,"IP")</f>
        <v>0</v>
      </c>
      <c r="I17" s="2">
        <f>SUMIFS('Sorted Data'!$Q:$Q,'Sorted Data'!$C:$C,$A17,'Sorted Data'!$E:$E,$B17,'Sorted Data'!$G:$G,$C17,'Sorted Data'!$T:$T,"Backout")</f>
        <v>0</v>
      </c>
      <c r="J17" s="2">
        <f>SUMIFS('Sorted Data'!$Q:$Q,'Sorted Data'!$C:$C,$A17,'Sorted Data'!$E:$E,$B17,'Sorted Data'!$G:$G,$C17,'Sorted Data'!$T:$T,"Credit Note")</f>
        <v>0</v>
      </c>
      <c r="K17" s="2">
        <f>SUMIFS('Sorted Data'!$Q:$Q,'Sorted Data'!$C:$C,$A17,'Sorted Data'!$E:$E,$B17,'Sorted Data'!$G:$G,$C17,'Sorted Data'!$T:$T,"Other / Review")</f>
        <v>0</v>
      </c>
      <c r="L17" s="2">
        <f>F17+G17+H17</f>
        <v>1099516.4964000001</v>
      </c>
      <c r="M17" s="5">
        <f>IFERROR(F17/L17,0)</f>
        <v>1</v>
      </c>
      <c r="N17" s="2">
        <f>IFERROR(E17/D17,0)</f>
        <v>122168.49960000001</v>
      </c>
    </row>
    <row r="18" spans="1:14">
      <c r="A18" t="s">
        <v>12</v>
      </c>
      <c r="B18" t="s">
        <v>75</v>
      </c>
      <c r="C18" t="s">
        <v>97</v>
      </c>
      <c r="D18">
        <f>COUNTIFS('Sorted Data'!$C:$C,$A18,'Sorted Data'!$E:$E,$B18,'Sorted Data'!$G:$G,$C18)</f>
        <v>17</v>
      </c>
      <c r="E18" s="2">
        <f>SUMIFS('Sorted Data'!$Q:$Q,'Sorted Data'!$C:$C,$A18,'Sorted Data'!$E:$E,$B18,'Sorted Data'!$G:$G,$C18)</f>
        <v>1081148.31</v>
      </c>
      <c r="F18" s="2">
        <f>SUMIFS('Sorted Data'!$Q:$Q,'Sorted Data'!$C:$C,$A18,'Sorted Data'!$E:$E,$B18,'Sorted Data'!$G:$G,$C18,'Sorted Data'!$T:$T,"Payment Received")</f>
        <v>571902.31000000006</v>
      </c>
      <c r="G18" s="2">
        <f>SUMIFS('Sorted Data'!$Q:$Q,'Sorted Data'!$C:$C,$A18,'Sorted Data'!$E:$E,$B18,'Sorted Data'!$G:$G,$C18,'Sorted Data'!$T:$T,"PP")</f>
        <v>218246</v>
      </c>
      <c r="H18" s="2">
        <f>SUMIFS('Sorted Data'!$Q:$Q,'Sorted Data'!$C:$C,$A18,'Sorted Data'!$E:$E,$B18,'Sorted Data'!$G:$G,$C18,'Sorted Data'!$T:$T,"IP")</f>
        <v>291000</v>
      </c>
      <c r="I18" s="2">
        <f>SUMIFS('Sorted Data'!$Q:$Q,'Sorted Data'!$C:$C,$A18,'Sorted Data'!$E:$E,$B18,'Sorted Data'!$G:$G,$C18,'Sorted Data'!$T:$T,"Backout")</f>
        <v>0</v>
      </c>
      <c r="J18" s="2">
        <f>SUMIFS('Sorted Data'!$Q:$Q,'Sorted Data'!$C:$C,$A18,'Sorted Data'!$E:$E,$B18,'Sorted Data'!$G:$G,$C18,'Sorted Data'!$T:$T,"Credit Note")</f>
        <v>0</v>
      </c>
      <c r="K18" s="2">
        <f>SUMIFS('Sorted Data'!$Q:$Q,'Sorted Data'!$C:$C,$A18,'Sorted Data'!$E:$E,$B18,'Sorted Data'!$G:$G,$C18,'Sorted Data'!$T:$T,"Other / Review")</f>
        <v>0</v>
      </c>
      <c r="L18" s="2">
        <f>F18+G18+H18</f>
        <v>1081148.31</v>
      </c>
      <c r="M18" s="5">
        <f>IFERROR(F18/L18,0)</f>
        <v>0.52897674140562645</v>
      </c>
      <c r="N18" s="2">
        <f>IFERROR(E18/D18,0)</f>
        <v>63596.959411764707</v>
      </c>
    </row>
    <row r="19" spans="1:14">
      <c r="A19" t="s">
        <v>12</v>
      </c>
      <c r="B19" t="s">
        <v>75</v>
      </c>
      <c r="C19" t="s">
        <v>86</v>
      </c>
      <c r="D19">
        <f>COUNTIFS('Sorted Data'!$C:$C,$A19,'Sorted Data'!$E:$E,$B19,'Sorted Data'!$G:$G,$C19)</f>
        <v>11</v>
      </c>
      <c r="E19" s="2">
        <f>SUMIFS('Sorted Data'!$Q:$Q,'Sorted Data'!$C:$C,$A19,'Sorted Data'!$E:$E,$B19,'Sorted Data'!$G:$G,$C19)</f>
        <v>1017527.3543</v>
      </c>
      <c r="F19" s="2">
        <f>SUMIFS('Sorted Data'!$Q:$Q,'Sorted Data'!$C:$C,$A19,'Sorted Data'!$E:$E,$B19,'Sorted Data'!$G:$G,$C19,'Sorted Data'!$T:$T,"Payment Received")</f>
        <v>762527.35430000001</v>
      </c>
      <c r="G19" s="2">
        <f>SUMIFS('Sorted Data'!$Q:$Q,'Sorted Data'!$C:$C,$A19,'Sorted Data'!$E:$E,$B19,'Sorted Data'!$G:$G,$C19,'Sorted Data'!$T:$T,"PP")</f>
        <v>0</v>
      </c>
      <c r="H19" s="2">
        <f>SUMIFS('Sorted Data'!$Q:$Q,'Sorted Data'!$C:$C,$A19,'Sorted Data'!$E:$E,$B19,'Sorted Data'!$G:$G,$C19,'Sorted Data'!$T:$T,"IP")</f>
        <v>255000</v>
      </c>
      <c r="I19" s="2">
        <f>SUMIFS('Sorted Data'!$Q:$Q,'Sorted Data'!$C:$C,$A19,'Sorted Data'!$E:$E,$B19,'Sorted Data'!$G:$G,$C19,'Sorted Data'!$T:$T,"Backout")</f>
        <v>0</v>
      </c>
      <c r="J19" s="2">
        <f>SUMIFS('Sorted Data'!$Q:$Q,'Sorted Data'!$C:$C,$A19,'Sorted Data'!$E:$E,$B19,'Sorted Data'!$G:$G,$C19,'Sorted Data'!$T:$T,"Credit Note")</f>
        <v>0</v>
      </c>
      <c r="K19" s="2">
        <f>SUMIFS('Sorted Data'!$Q:$Q,'Sorted Data'!$C:$C,$A19,'Sorted Data'!$E:$E,$B19,'Sorted Data'!$G:$G,$C19,'Sorted Data'!$T:$T,"Other / Review")</f>
        <v>0</v>
      </c>
      <c r="L19" s="2">
        <f>F19+G19+H19</f>
        <v>1017527.3543</v>
      </c>
      <c r="M19" s="5">
        <f>IFERROR(F19/L19,0)</f>
        <v>0.74939248667626701</v>
      </c>
      <c r="N19" s="2">
        <f>IFERROR(E19/D19,0)</f>
        <v>92502.486754545462</v>
      </c>
    </row>
    <row r="20" spans="1:14">
      <c r="A20" t="s">
        <v>13</v>
      </c>
      <c r="B20" t="s">
        <v>100</v>
      </c>
      <c r="C20" t="s">
        <v>100</v>
      </c>
      <c r="D20">
        <f>COUNTIFS('Sorted Data'!$C:$C,$A20,'Sorted Data'!$E:$E,$B20,'Sorted Data'!$G:$G,$C20)</f>
        <v>6</v>
      </c>
      <c r="E20" s="2">
        <f>SUMIFS('Sorted Data'!$Q:$Q,'Sorted Data'!$C:$C,$A20,'Sorted Data'!$E:$E,$B20,'Sorted Data'!$G:$G,$C20)</f>
        <v>955352.64</v>
      </c>
      <c r="F20" s="2">
        <f>SUMIFS('Sorted Data'!$Q:$Q,'Sorted Data'!$C:$C,$A20,'Sorted Data'!$E:$E,$B20,'Sorted Data'!$G:$G,$C20,'Sorted Data'!$T:$T,"Payment Received")</f>
        <v>659951.64</v>
      </c>
      <c r="G20" s="2">
        <f>SUMIFS('Sorted Data'!$Q:$Q,'Sorted Data'!$C:$C,$A20,'Sorted Data'!$E:$E,$B20,'Sorted Data'!$G:$G,$C20,'Sorted Data'!$T:$T,"PP")</f>
        <v>295401</v>
      </c>
      <c r="H20" s="2">
        <f>SUMIFS('Sorted Data'!$Q:$Q,'Sorted Data'!$C:$C,$A20,'Sorted Data'!$E:$E,$B20,'Sorted Data'!$G:$G,$C20,'Sorted Data'!$T:$T,"IP")</f>
        <v>0</v>
      </c>
      <c r="I20" s="2">
        <f>SUMIFS('Sorted Data'!$Q:$Q,'Sorted Data'!$C:$C,$A20,'Sorted Data'!$E:$E,$B20,'Sorted Data'!$G:$G,$C20,'Sorted Data'!$T:$T,"Backout")</f>
        <v>0</v>
      </c>
      <c r="J20" s="2">
        <f>SUMIFS('Sorted Data'!$Q:$Q,'Sorted Data'!$C:$C,$A20,'Sorted Data'!$E:$E,$B20,'Sorted Data'!$G:$G,$C20,'Sorted Data'!$T:$T,"Credit Note")</f>
        <v>0</v>
      </c>
      <c r="K20" s="2">
        <f>SUMIFS('Sorted Data'!$Q:$Q,'Sorted Data'!$C:$C,$A20,'Sorted Data'!$E:$E,$B20,'Sorted Data'!$G:$G,$C20,'Sorted Data'!$T:$T,"Other / Review")</f>
        <v>0</v>
      </c>
      <c r="L20" s="2">
        <f>F20+G20+H20</f>
        <v>955352.64</v>
      </c>
      <c r="M20" s="5">
        <f>IFERROR(F20/L20,0)</f>
        <v>0.69079375758044692</v>
      </c>
      <c r="N20" s="2">
        <f>IFERROR(E20/D20,0)</f>
        <v>159225.44</v>
      </c>
    </row>
    <row r="21" spans="1:14">
      <c r="A21" t="s">
        <v>12</v>
      </c>
      <c r="B21" t="s">
        <v>75</v>
      </c>
      <c r="C21" t="s">
        <v>80</v>
      </c>
      <c r="D21">
        <f>COUNTIFS('Sorted Data'!$C:$C,$A21,'Sorted Data'!$E:$E,$B21,'Sorted Data'!$G:$G,$C21)</f>
        <v>12</v>
      </c>
      <c r="E21" s="2">
        <f>SUMIFS('Sorted Data'!$Q:$Q,'Sorted Data'!$C:$C,$A21,'Sorted Data'!$E:$E,$B21,'Sorted Data'!$G:$G,$C21)</f>
        <v>887857.81160000002</v>
      </c>
      <c r="F21" s="2">
        <f>SUMIFS('Sorted Data'!$Q:$Q,'Sorted Data'!$C:$C,$A21,'Sorted Data'!$E:$E,$B21,'Sorted Data'!$G:$G,$C21,'Sorted Data'!$T:$T,"Payment Received")</f>
        <v>637857.81160000002</v>
      </c>
      <c r="G21" s="2">
        <f>SUMIFS('Sorted Data'!$Q:$Q,'Sorted Data'!$C:$C,$A21,'Sorted Data'!$E:$E,$B21,'Sorted Data'!$G:$G,$C21,'Sorted Data'!$T:$T,"PP")</f>
        <v>0</v>
      </c>
      <c r="H21" s="2">
        <f>SUMIFS('Sorted Data'!$Q:$Q,'Sorted Data'!$C:$C,$A21,'Sorted Data'!$E:$E,$B21,'Sorted Data'!$G:$G,$C21,'Sorted Data'!$T:$T,"IP")</f>
        <v>250000</v>
      </c>
      <c r="I21" s="2">
        <f>SUMIFS('Sorted Data'!$Q:$Q,'Sorted Data'!$C:$C,$A21,'Sorted Data'!$E:$E,$B21,'Sorted Data'!$G:$G,$C21,'Sorted Data'!$T:$T,"Backout")</f>
        <v>0</v>
      </c>
      <c r="J21" s="2">
        <f>SUMIFS('Sorted Data'!$Q:$Q,'Sorted Data'!$C:$C,$A21,'Sorted Data'!$E:$E,$B21,'Sorted Data'!$G:$G,$C21,'Sorted Data'!$T:$T,"Credit Note")</f>
        <v>0</v>
      </c>
      <c r="K21" s="2">
        <f>SUMIFS('Sorted Data'!$Q:$Q,'Sorted Data'!$C:$C,$A21,'Sorted Data'!$E:$E,$B21,'Sorted Data'!$G:$G,$C21,'Sorted Data'!$T:$T,"Other / Review")</f>
        <v>0</v>
      </c>
      <c r="L21" s="2">
        <f>F21+G21+H21</f>
        <v>887857.81160000002</v>
      </c>
      <c r="M21" s="5">
        <f>IFERROR(F21/L21,0)</f>
        <v>0.71842338183692112</v>
      </c>
      <c r="N21" s="2">
        <f>IFERROR(E21/D21,0)</f>
        <v>73988.150966666668</v>
      </c>
    </row>
    <row r="22" spans="1:14">
      <c r="A22" t="s">
        <v>11</v>
      </c>
      <c r="B22" t="s">
        <v>56</v>
      </c>
      <c r="C22" t="s">
        <v>72</v>
      </c>
      <c r="D22">
        <f>COUNTIFS('Sorted Data'!$C:$C,$A22,'Sorted Data'!$E:$E,$B22,'Sorted Data'!$G:$G,$C22)</f>
        <v>16</v>
      </c>
      <c r="E22" s="2">
        <f>SUMIFS('Sorted Data'!$Q:$Q,'Sorted Data'!$C:$C,$A22,'Sorted Data'!$E:$E,$B22,'Sorted Data'!$G:$G,$C22)</f>
        <v>872476.00280000002</v>
      </c>
      <c r="F22" s="2">
        <f>SUMIFS('Sorted Data'!$Q:$Q,'Sorted Data'!$C:$C,$A22,'Sorted Data'!$E:$E,$B22,'Sorted Data'!$G:$G,$C22,'Sorted Data'!$T:$T,"Payment Received")</f>
        <v>611452.44280000008</v>
      </c>
      <c r="G22" s="2">
        <f>SUMIFS('Sorted Data'!$Q:$Q,'Sorted Data'!$C:$C,$A22,'Sorted Data'!$E:$E,$B22,'Sorted Data'!$G:$G,$C22,'Sorted Data'!$T:$T,"PP")</f>
        <v>151900.56</v>
      </c>
      <c r="H22" s="2">
        <f>SUMIFS('Sorted Data'!$Q:$Q,'Sorted Data'!$C:$C,$A22,'Sorted Data'!$E:$E,$B22,'Sorted Data'!$G:$G,$C22,'Sorted Data'!$T:$T,"IP")</f>
        <v>49147</v>
      </c>
      <c r="I22" s="2">
        <f>SUMIFS('Sorted Data'!$Q:$Q,'Sorted Data'!$C:$C,$A22,'Sorted Data'!$E:$E,$B22,'Sorted Data'!$G:$G,$C22,'Sorted Data'!$T:$T,"Backout")</f>
        <v>0</v>
      </c>
      <c r="J22" s="2">
        <f>SUMIFS('Sorted Data'!$Q:$Q,'Sorted Data'!$C:$C,$A22,'Sorted Data'!$E:$E,$B22,'Sorted Data'!$G:$G,$C22,'Sorted Data'!$T:$T,"Credit Note")</f>
        <v>59976</v>
      </c>
      <c r="K22" s="2">
        <f>SUMIFS('Sorted Data'!$Q:$Q,'Sorted Data'!$C:$C,$A22,'Sorted Data'!$E:$E,$B22,'Sorted Data'!$G:$G,$C22,'Sorted Data'!$T:$T,"Other / Review")</f>
        <v>0</v>
      </c>
      <c r="L22" s="2">
        <f>F22+G22+H22</f>
        <v>812500.00280000013</v>
      </c>
      <c r="M22" s="5">
        <f>IFERROR(F22/L22,0)</f>
        <v>0.75255685008349638</v>
      </c>
      <c r="N22" s="2">
        <f>IFERROR(E22/D22,0)</f>
        <v>54529.750175000001</v>
      </c>
    </row>
    <row r="23" spans="1:14">
      <c r="A23" t="s">
        <v>8</v>
      </c>
      <c r="B23" t="s">
        <v>28</v>
      </c>
      <c r="C23" t="s">
        <v>30</v>
      </c>
      <c r="D23">
        <f>COUNTIFS('Sorted Data'!$C:$C,$A23,'Sorted Data'!$E:$E,$B23,'Sorted Data'!$G:$G,$C23)</f>
        <v>2</v>
      </c>
      <c r="E23" s="2">
        <f>SUMIFS('Sorted Data'!$Q:$Q,'Sorted Data'!$C:$C,$A23,'Sorted Data'!$E:$E,$B23,'Sorted Data'!$G:$G,$C23)</f>
        <v>842740.6</v>
      </c>
      <c r="F23" s="2">
        <f>SUMIFS('Sorted Data'!$Q:$Q,'Sorted Data'!$C:$C,$A23,'Sorted Data'!$E:$E,$B23,'Sorted Data'!$G:$G,$C23,'Sorted Data'!$T:$T,"Payment Received")</f>
        <v>528240</v>
      </c>
      <c r="G23" s="2">
        <f>SUMIFS('Sorted Data'!$Q:$Q,'Sorted Data'!$C:$C,$A23,'Sorted Data'!$E:$E,$B23,'Sorted Data'!$G:$G,$C23,'Sorted Data'!$T:$T,"PP")</f>
        <v>314500.59999999998</v>
      </c>
      <c r="H23" s="2">
        <f>SUMIFS('Sorted Data'!$Q:$Q,'Sorted Data'!$C:$C,$A23,'Sorted Data'!$E:$E,$B23,'Sorted Data'!$G:$G,$C23,'Sorted Data'!$T:$T,"IP")</f>
        <v>0</v>
      </c>
      <c r="I23" s="2">
        <f>SUMIFS('Sorted Data'!$Q:$Q,'Sorted Data'!$C:$C,$A23,'Sorted Data'!$E:$E,$B23,'Sorted Data'!$G:$G,$C23,'Sorted Data'!$T:$T,"Backout")</f>
        <v>0</v>
      </c>
      <c r="J23" s="2">
        <f>SUMIFS('Sorted Data'!$Q:$Q,'Sorted Data'!$C:$C,$A23,'Sorted Data'!$E:$E,$B23,'Sorted Data'!$G:$G,$C23,'Sorted Data'!$T:$T,"Credit Note")</f>
        <v>0</v>
      </c>
      <c r="K23" s="2">
        <f>SUMIFS('Sorted Data'!$Q:$Q,'Sorted Data'!$C:$C,$A23,'Sorted Data'!$E:$E,$B23,'Sorted Data'!$G:$G,$C23,'Sorted Data'!$T:$T,"Other / Review")</f>
        <v>0</v>
      </c>
      <c r="L23" s="2">
        <f>F23+G23+H23</f>
        <v>842740.6</v>
      </c>
      <c r="M23" s="5">
        <f>IFERROR(F23/L23,0)</f>
        <v>0.62681209378069602</v>
      </c>
      <c r="N23" s="2">
        <f>IFERROR(E23/D23,0)</f>
        <v>421370.3</v>
      </c>
    </row>
    <row r="24" spans="1:14">
      <c r="A24" t="s">
        <v>11</v>
      </c>
      <c r="B24" t="s">
        <v>56</v>
      </c>
      <c r="C24" t="s">
        <v>68</v>
      </c>
      <c r="D24">
        <f>COUNTIFS('Sorted Data'!$C:$C,$A24,'Sorted Data'!$E:$E,$B24,'Sorted Data'!$G:$G,$C24)</f>
        <v>9</v>
      </c>
      <c r="E24" s="2">
        <f>SUMIFS('Sorted Data'!$Q:$Q,'Sorted Data'!$C:$C,$A24,'Sorted Data'!$E:$E,$B24,'Sorted Data'!$G:$G,$C24)</f>
        <v>789675.56640000001</v>
      </c>
      <c r="F24" s="2">
        <f>SUMIFS('Sorted Data'!$Q:$Q,'Sorted Data'!$C:$C,$A24,'Sorted Data'!$E:$E,$B24,'Sorted Data'!$G:$G,$C24,'Sorted Data'!$T:$T,"Payment Received")</f>
        <v>490704.44640000002</v>
      </c>
      <c r="G24" s="2">
        <f>SUMIFS('Sorted Data'!$Q:$Q,'Sorted Data'!$C:$C,$A24,'Sorted Data'!$E:$E,$B24,'Sorted Data'!$G:$G,$C24,'Sorted Data'!$T:$T,"PP")</f>
        <v>298971.12</v>
      </c>
      <c r="H24" s="2">
        <f>SUMIFS('Sorted Data'!$Q:$Q,'Sorted Data'!$C:$C,$A24,'Sorted Data'!$E:$E,$B24,'Sorted Data'!$G:$G,$C24,'Sorted Data'!$T:$T,"IP")</f>
        <v>0</v>
      </c>
      <c r="I24" s="2">
        <f>SUMIFS('Sorted Data'!$Q:$Q,'Sorted Data'!$C:$C,$A24,'Sorted Data'!$E:$E,$B24,'Sorted Data'!$G:$G,$C24,'Sorted Data'!$T:$T,"Backout")</f>
        <v>0</v>
      </c>
      <c r="J24" s="2">
        <f>SUMIFS('Sorted Data'!$Q:$Q,'Sorted Data'!$C:$C,$A24,'Sorted Data'!$E:$E,$B24,'Sorted Data'!$G:$G,$C24,'Sorted Data'!$T:$T,"Credit Note")</f>
        <v>0</v>
      </c>
      <c r="K24" s="2">
        <f>SUMIFS('Sorted Data'!$Q:$Q,'Sorted Data'!$C:$C,$A24,'Sorted Data'!$E:$E,$B24,'Sorted Data'!$G:$G,$C24,'Sorted Data'!$T:$T,"Other / Review")</f>
        <v>0</v>
      </c>
      <c r="L24" s="2">
        <f>F24+G24+H24</f>
        <v>789675.56640000001</v>
      </c>
      <c r="M24" s="5">
        <f>IFERROR(F24/L24,0)</f>
        <v>0.62140006260677438</v>
      </c>
      <c r="N24" s="2">
        <f>IFERROR(E24/D24,0)</f>
        <v>87741.729600000006</v>
      </c>
    </row>
    <row r="25" spans="1:14">
      <c r="A25" t="s">
        <v>10</v>
      </c>
      <c r="B25" t="s">
        <v>40</v>
      </c>
      <c r="C25" t="s">
        <v>49</v>
      </c>
      <c r="D25">
        <f>COUNTIFS('Sorted Data'!$C:$C,$A25,'Sorted Data'!$E:$E,$B25,'Sorted Data'!$G:$G,$C25)</f>
        <v>10</v>
      </c>
      <c r="E25" s="2">
        <f>SUMIFS('Sorted Data'!$Q:$Q,'Sorted Data'!$C:$C,$A25,'Sorted Data'!$E:$E,$B25,'Sorted Data'!$G:$G,$C25)</f>
        <v>730313.17359999998</v>
      </c>
      <c r="F25" s="2">
        <f>SUMIFS('Sorted Data'!$Q:$Q,'Sorted Data'!$C:$C,$A25,'Sorted Data'!$E:$E,$B25,'Sorted Data'!$G:$G,$C25,'Sorted Data'!$T:$T,"Payment Received")</f>
        <v>545053.5466</v>
      </c>
      <c r="G25" s="2">
        <f>SUMIFS('Sorted Data'!$Q:$Q,'Sorted Data'!$C:$C,$A25,'Sorted Data'!$E:$E,$B25,'Sorted Data'!$G:$G,$C25,'Sorted Data'!$T:$T,"PP")</f>
        <v>185259.62699999998</v>
      </c>
      <c r="H25" s="2">
        <f>SUMIFS('Sorted Data'!$Q:$Q,'Sorted Data'!$C:$C,$A25,'Sorted Data'!$E:$E,$B25,'Sorted Data'!$G:$G,$C25,'Sorted Data'!$T:$T,"IP")</f>
        <v>0</v>
      </c>
      <c r="I25" s="2">
        <f>SUMIFS('Sorted Data'!$Q:$Q,'Sorted Data'!$C:$C,$A25,'Sorted Data'!$E:$E,$B25,'Sorted Data'!$G:$G,$C25,'Sorted Data'!$T:$T,"Backout")</f>
        <v>0</v>
      </c>
      <c r="J25" s="2">
        <f>SUMIFS('Sorted Data'!$Q:$Q,'Sorted Data'!$C:$C,$A25,'Sorted Data'!$E:$E,$B25,'Sorted Data'!$G:$G,$C25,'Sorted Data'!$T:$T,"Credit Note")</f>
        <v>0</v>
      </c>
      <c r="K25" s="2">
        <f>SUMIFS('Sorted Data'!$Q:$Q,'Sorted Data'!$C:$C,$A25,'Sorted Data'!$E:$E,$B25,'Sorted Data'!$G:$G,$C25,'Sorted Data'!$T:$T,"Other / Review")</f>
        <v>0</v>
      </c>
      <c r="L25" s="2">
        <f>F25+G25+H25</f>
        <v>730313.17359999998</v>
      </c>
      <c r="M25" s="5">
        <f>IFERROR(F25/L25,0)</f>
        <v>0.74632851535898959</v>
      </c>
      <c r="N25" s="2">
        <f>IFERROR(E25/D25,0)</f>
        <v>73031.317360000001</v>
      </c>
    </row>
    <row r="26" spans="1:14">
      <c r="A26" t="s">
        <v>10</v>
      </c>
      <c r="B26" t="s">
        <v>40</v>
      </c>
      <c r="C26" t="s">
        <v>51</v>
      </c>
      <c r="D26">
        <f>COUNTIFS('Sorted Data'!$C:$C,$A26,'Sorted Data'!$E:$E,$B26,'Sorted Data'!$G:$G,$C26)</f>
        <v>10</v>
      </c>
      <c r="E26" s="2">
        <f>SUMIFS('Sorted Data'!$Q:$Q,'Sorted Data'!$C:$C,$A26,'Sorted Data'!$E:$E,$B26,'Sorted Data'!$G:$G,$C26)</f>
        <v>719681.12000000011</v>
      </c>
      <c r="F26" s="2">
        <f>SUMIFS('Sorted Data'!$Q:$Q,'Sorted Data'!$C:$C,$A26,'Sorted Data'!$E:$E,$B26,'Sorted Data'!$G:$G,$C26,'Sorted Data'!$T:$T,"Payment Received")</f>
        <v>719681.12000000011</v>
      </c>
      <c r="G26" s="2">
        <f>SUMIFS('Sorted Data'!$Q:$Q,'Sorted Data'!$C:$C,$A26,'Sorted Data'!$E:$E,$B26,'Sorted Data'!$G:$G,$C26,'Sorted Data'!$T:$T,"PP")</f>
        <v>0</v>
      </c>
      <c r="H26" s="2">
        <f>SUMIFS('Sorted Data'!$Q:$Q,'Sorted Data'!$C:$C,$A26,'Sorted Data'!$E:$E,$B26,'Sorted Data'!$G:$G,$C26,'Sorted Data'!$T:$T,"IP")</f>
        <v>0</v>
      </c>
      <c r="I26" s="2">
        <f>SUMIFS('Sorted Data'!$Q:$Q,'Sorted Data'!$C:$C,$A26,'Sorted Data'!$E:$E,$B26,'Sorted Data'!$G:$G,$C26,'Sorted Data'!$T:$T,"Backout")</f>
        <v>0</v>
      </c>
      <c r="J26" s="2">
        <f>SUMIFS('Sorted Data'!$Q:$Q,'Sorted Data'!$C:$C,$A26,'Sorted Data'!$E:$E,$B26,'Sorted Data'!$G:$G,$C26,'Sorted Data'!$T:$T,"Credit Note")</f>
        <v>0</v>
      </c>
      <c r="K26" s="2">
        <f>SUMIFS('Sorted Data'!$Q:$Q,'Sorted Data'!$C:$C,$A26,'Sorted Data'!$E:$E,$B26,'Sorted Data'!$G:$G,$C26,'Sorted Data'!$T:$T,"Other / Review")</f>
        <v>0</v>
      </c>
      <c r="L26" s="2">
        <f>F26+G26+H26</f>
        <v>719681.12000000011</v>
      </c>
      <c r="M26" s="5">
        <f>IFERROR(F26/L26,0)</f>
        <v>1</v>
      </c>
      <c r="N26" s="2">
        <f>IFERROR(E26/D26,0)</f>
        <v>71968.112000000008</v>
      </c>
    </row>
    <row r="27" spans="1:14">
      <c r="A27" t="s">
        <v>11</v>
      </c>
      <c r="B27" t="s">
        <v>56</v>
      </c>
      <c r="C27" t="s">
        <v>67</v>
      </c>
      <c r="D27">
        <f>COUNTIFS('Sorted Data'!$C:$C,$A27,'Sorted Data'!$E:$E,$B27,'Sorted Data'!$G:$G,$C27)</f>
        <v>12</v>
      </c>
      <c r="E27" s="2">
        <f>SUMIFS('Sorted Data'!$Q:$Q,'Sorted Data'!$C:$C,$A27,'Sorted Data'!$E:$E,$B27,'Sorted Data'!$G:$G,$C27)</f>
        <v>707855.91</v>
      </c>
      <c r="F27" s="2">
        <f>SUMIFS('Sorted Data'!$Q:$Q,'Sorted Data'!$C:$C,$A27,'Sorted Data'!$E:$E,$B27,'Sorted Data'!$G:$G,$C27,'Sorted Data'!$T:$T,"Payment Received")</f>
        <v>707855.91</v>
      </c>
      <c r="G27" s="2">
        <f>SUMIFS('Sorted Data'!$Q:$Q,'Sorted Data'!$C:$C,$A27,'Sorted Data'!$E:$E,$B27,'Sorted Data'!$G:$G,$C27,'Sorted Data'!$T:$T,"PP")</f>
        <v>0</v>
      </c>
      <c r="H27" s="2">
        <f>SUMIFS('Sorted Data'!$Q:$Q,'Sorted Data'!$C:$C,$A27,'Sorted Data'!$E:$E,$B27,'Sorted Data'!$G:$G,$C27,'Sorted Data'!$T:$T,"IP")</f>
        <v>0</v>
      </c>
      <c r="I27" s="2">
        <f>SUMIFS('Sorted Data'!$Q:$Q,'Sorted Data'!$C:$C,$A27,'Sorted Data'!$E:$E,$B27,'Sorted Data'!$G:$G,$C27,'Sorted Data'!$T:$T,"Backout")</f>
        <v>0</v>
      </c>
      <c r="J27" s="2">
        <f>SUMIFS('Sorted Data'!$Q:$Q,'Sorted Data'!$C:$C,$A27,'Sorted Data'!$E:$E,$B27,'Sorted Data'!$G:$G,$C27,'Sorted Data'!$T:$T,"Credit Note")</f>
        <v>0</v>
      </c>
      <c r="K27" s="2">
        <f>SUMIFS('Sorted Data'!$Q:$Q,'Sorted Data'!$C:$C,$A27,'Sorted Data'!$E:$E,$B27,'Sorted Data'!$G:$G,$C27,'Sorted Data'!$T:$T,"Other / Review")</f>
        <v>0</v>
      </c>
      <c r="L27" s="2">
        <f>F27+G27+H27</f>
        <v>707855.91</v>
      </c>
      <c r="M27" s="5">
        <f>IFERROR(F27/L27,0)</f>
        <v>1</v>
      </c>
      <c r="N27" s="2">
        <f>IFERROR(E27/D27,0)</f>
        <v>58987.9925</v>
      </c>
    </row>
    <row r="28" spans="1:14">
      <c r="A28" t="s">
        <v>10</v>
      </c>
      <c r="B28" t="s">
        <v>40</v>
      </c>
      <c r="C28" t="s">
        <v>54</v>
      </c>
      <c r="D28">
        <f>COUNTIFS('Sorted Data'!$C:$C,$A28,'Sorted Data'!$E:$E,$B28,'Sorted Data'!$G:$G,$C28)</f>
        <v>8</v>
      </c>
      <c r="E28" s="2">
        <f>SUMIFS('Sorted Data'!$Q:$Q,'Sorted Data'!$C:$C,$A28,'Sorted Data'!$E:$E,$B28,'Sorted Data'!$G:$G,$C28)</f>
        <v>663276.15</v>
      </c>
      <c r="F28" s="2">
        <f>SUMIFS('Sorted Data'!$Q:$Q,'Sorted Data'!$C:$C,$A28,'Sorted Data'!$E:$E,$B28,'Sorted Data'!$G:$G,$C28,'Sorted Data'!$T:$T,"Payment Received")</f>
        <v>511276.15</v>
      </c>
      <c r="G28" s="2">
        <f>SUMIFS('Sorted Data'!$Q:$Q,'Sorted Data'!$C:$C,$A28,'Sorted Data'!$E:$E,$B28,'Sorted Data'!$G:$G,$C28,'Sorted Data'!$T:$T,"PP")</f>
        <v>152000</v>
      </c>
      <c r="H28" s="2">
        <f>SUMIFS('Sorted Data'!$Q:$Q,'Sorted Data'!$C:$C,$A28,'Sorted Data'!$E:$E,$B28,'Sorted Data'!$G:$G,$C28,'Sorted Data'!$T:$T,"IP")</f>
        <v>0</v>
      </c>
      <c r="I28" s="2">
        <f>SUMIFS('Sorted Data'!$Q:$Q,'Sorted Data'!$C:$C,$A28,'Sorted Data'!$E:$E,$B28,'Sorted Data'!$G:$G,$C28,'Sorted Data'!$T:$T,"Backout")</f>
        <v>0</v>
      </c>
      <c r="J28" s="2">
        <f>SUMIFS('Sorted Data'!$Q:$Q,'Sorted Data'!$C:$C,$A28,'Sorted Data'!$E:$E,$B28,'Sorted Data'!$G:$G,$C28,'Sorted Data'!$T:$T,"Credit Note")</f>
        <v>0</v>
      </c>
      <c r="K28" s="2">
        <f>SUMIFS('Sorted Data'!$Q:$Q,'Sorted Data'!$C:$C,$A28,'Sorted Data'!$E:$E,$B28,'Sorted Data'!$G:$G,$C28,'Sorted Data'!$T:$T,"Other / Review")</f>
        <v>0</v>
      </c>
      <c r="L28" s="2">
        <f>F28+G28+H28</f>
        <v>663276.15</v>
      </c>
      <c r="M28" s="5">
        <f>IFERROR(F28/L28,0)</f>
        <v>0.77083451591015295</v>
      </c>
      <c r="N28" s="2">
        <f>IFERROR(E28/D28,0)</f>
        <v>82909.518750000003</v>
      </c>
    </row>
    <row r="29" spans="1:14">
      <c r="A29" t="s">
        <v>12</v>
      </c>
      <c r="B29" t="s">
        <v>75</v>
      </c>
      <c r="C29" t="s">
        <v>93</v>
      </c>
      <c r="D29">
        <f>COUNTIFS('Sorted Data'!$C:$C,$A29,'Sorted Data'!$E:$E,$B29,'Sorted Data'!$G:$G,$C29)</f>
        <v>7</v>
      </c>
      <c r="E29" s="2">
        <f>SUMIFS('Sorted Data'!$Q:$Q,'Sorted Data'!$C:$C,$A29,'Sorted Data'!$E:$E,$B29,'Sorted Data'!$G:$G,$C29)</f>
        <v>634894.25600000005</v>
      </c>
      <c r="F29" s="2">
        <f>SUMIFS('Sorted Data'!$Q:$Q,'Sorted Data'!$C:$C,$A29,'Sorted Data'!$E:$E,$B29,'Sorted Data'!$G:$G,$C29,'Sorted Data'!$T:$T,"Payment Received")</f>
        <v>433028.12599999999</v>
      </c>
      <c r="G29" s="2">
        <f>SUMIFS('Sorted Data'!$Q:$Q,'Sorted Data'!$C:$C,$A29,'Sorted Data'!$E:$E,$B29,'Sorted Data'!$G:$G,$C29,'Sorted Data'!$T:$T,"PP")</f>
        <v>201866.13</v>
      </c>
      <c r="H29" s="2">
        <f>SUMIFS('Sorted Data'!$Q:$Q,'Sorted Data'!$C:$C,$A29,'Sorted Data'!$E:$E,$B29,'Sorted Data'!$G:$G,$C29,'Sorted Data'!$T:$T,"IP")</f>
        <v>0</v>
      </c>
      <c r="I29" s="2">
        <f>SUMIFS('Sorted Data'!$Q:$Q,'Sorted Data'!$C:$C,$A29,'Sorted Data'!$E:$E,$B29,'Sorted Data'!$G:$G,$C29,'Sorted Data'!$T:$T,"Backout")</f>
        <v>0</v>
      </c>
      <c r="J29" s="2">
        <f>SUMIFS('Sorted Data'!$Q:$Q,'Sorted Data'!$C:$C,$A29,'Sorted Data'!$E:$E,$B29,'Sorted Data'!$G:$G,$C29,'Sorted Data'!$T:$T,"Credit Note")</f>
        <v>0</v>
      </c>
      <c r="K29" s="2">
        <f>SUMIFS('Sorted Data'!$Q:$Q,'Sorted Data'!$C:$C,$A29,'Sorted Data'!$E:$E,$B29,'Sorted Data'!$G:$G,$C29,'Sorted Data'!$T:$T,"Other / Review")</f>
        <v>0</v>
      </c>
      <c r="L29" s="2">
        <f>F29+G29+H29</f>
        <v>634894.25600000005</v>
      </c>
      <c r="M29" s="5">
        <f>IFERROR(F29/L29,0)</f>
        <v>0.6820476353466961</v>
      </c>
      <c r="N29" s="2">
        <f>IFERROR(E29/D29,0)</f>
        <v>90699.179428571442</v>
      </c>
    </row>
    <row r="30" spans="1:14">
      <c r="A30" t="s">
        <v>11</v>
      </c>
      <c r="B30" t="s">
        <v>56</v>
      </c>
      <c r="C30" t="s">
        <v>65</v>
      </c>
      <c r="D30">
        <f>COUNTIFS('Sorted Data'!$C:$C,$A30,'Sorted Data'!$E:$E,$B30,'Sorted Data'!$G:$G,$C30)</f>
        <v>13</v>
      </c>
      <c r="E30" s="2">
        <f>SUMIFS('Sorted Data'!$Q:$Q,'Sorted Data'!$C:$C,$A30,'Sorted Data'!$E:$E,$B30,'Sorted Data'!$G:$G,$C30)</f>
        <v>611481.37959999999</v>
      </c>
      <c r="F30" s="2">
        <f>SUMIFS('Sorted Data'!$Q:$Q,'Sorted Data'!$C:$C,$A30,'Sorted Data'!$E:$E,$B30,'Sorted Data'!$G:$G,$C30,'Sorted Data'!$T:$T,"Payment Received")</f>
        <v>611481.37959999999</v>
      </c>
      <c r="G30" s="2">
        <f>SUMIFS('Sorted Data'!$Q:$Q,'Sorted Data'!$C:$C,$A30,'Sorted Data'!$E:$E,$B30,'Sorted Data'!$G:$G,$C30,'Sorted Data'!$T:$T,"PP")</f>
        <v>0</v>
      </c>
      <c r="H30" s="2">
        <f>SUMIFS('Sorted Data'!$Q:$Q,'Sorted Data'!$C:$C,$A30,'Sorted Data'!$E:$E,$B30,'Sorted Data'!$G:$G,$C30,'Sorted Data'!$T:$T,"IP")</f>
        <v>0</v>
      </c>
      <c r="I30" s="2">
        <f>SUMIFS('Sorted Data'!$Q:$Q,'Sorted Data'!$C:$C,$A30,'Sorted Data'!$E:$E,$B30,'Sorted Data'!$G:$G,$C30,'Sorted Data'!$T:$T,"Backout")</f>
        <v>0</v>
      </c>
      <c r="J30" s="2">
        <f>SUMIFS('Sorted Data'!$Q:$Q,'Sorted Data'!$C:$C,$A30,'Sorted Data'!$E:$E,$B30,'Sorted Data'!$G:$G,$C30,'Sorted Data'!$T:$T,"Credit Note")</f>
        <v>0</v>
      </c>
      <c r="K30" s="2">
        <f>SUMIFS('Sorted Data'!$Q:$Q,'Sorted Data'!$C:$C,$A30,'Sorted Data'!$E:$E,$B30,'Sorted Data'!$G:$G,$C30,'Sorted Data'!$T:$T,"Other / Review")</f>
        <v>0</v>
      </c>
      <c r="L30" s="2">
        <f>F30+G30+H30</f>
        <v>611481.37959999999</v>
      </c>
      <c r="M30" s="5">
        <f>IFERROR(F30/L30,0)</f>
        <v>1</v>
      </c>
      <c r="N30" s="2">
        <f>IFERROR(E30/D30,0)</f>
        <v>47037.029199999997</v>
      </c>
    </row>
    <row r="31" spans="1:14">
      <c r="A31" t="s">
        <v>12</v>
      </c>
      <c r="B31" t="s">
        <v>75</v>
      </c>
      <c r="C31" t="s">
        <v>77</v>
      </c>
      <c r="D31">
        <f>COUNTIFS('Sorted Data'!$C:$C,$A31,'Sorted Data'!$E:$E,$B31,'Sorted Data'!$G:$G,$C31)</f>
        <v>5</v>
      </c>
      <c r="E31" s="2">
        <f>SUMIFS('Sorted Data'!$Q:$Q,'Sorted Data'!$C:$C,$A31,'Sorted Data'!$E:$E,$B31,'Sorted Data'!$G:$G,$C31)</f>
        <v>607051.02</v>
      </c>
      <c r="F31" s="2">
        <f>SUMIFS('Sorted Data'!$Q:$Q,'Sorted Data'!$C:$C,$A31,'Sorted Data'!$E:$E,$B31,'Sorted Data'!$G:$G,$C31,'Sorted Data'!$T:$T,"Payment Received")</f>
        <v>95462</v>
      </c>
      <c r="G31" s="2">
        <f>SUMIFS('Sorted Data'!$Q:$Q,'Sorted Data'!$C:$C,$A31,'Sorted Data'!$E:$E,$B31,'Sorted Data'!$G:$G,$C31,'Sorted Data'!$T:$T,"PP")</f>
        <v>511589.01999999996</v>
      </c>
      <c r="H31" s="2">
        <f>SUMIFS('Sorted Data'!$Q:$Q,'Sorted Data'!$C:$C,$A31,'Sorted Data'!$E:$E,$B31,'Sorted Data'!$G:$G,$C31,'Sorted Data'!$T:$T,"IP")</f>
        <v>0</v>
      </c>
      <c r="I31" s="2">
        <f>SUMIFS('Sorted Data'!$Q:$Q,'Sorted Data'!$C:$C,$A31,'Sorted Data'!$E:$E,$B31,'Sorted Data'!$G:$G,$C31,'Sorted Data'!$T:$T,"Backout")</f>
        <v>0</v>
      </c>
      <c r="J31" s="2">
        <f>SUMIFS('Sorted Data'!$Q:$Q,'Sorted Data'!$C:$C,$A31,'Sorted Data'!$E:$E,$B31,'Sorted Data'!$G:$G,$C31,'Sorted Data'!$T:$T,"Credit Note")</f>
        <v>0</v>
      </c>
      <c r="K31" s="2">
        <f>SUMIFS('Sorted Data'!$Q:$Q,'Sorted Data'!$C:$C,$A31,'Sorted Data'!$E:$E,$B31,'Sorted Data'!$G:$G,$C31,'Sorted Data'!$T:$T,"Other / Review")</f>
        <v>0</v>
      </c>
      <c r="L31" s="2">
        <f>F31+G31+H31</f>
        <v>607051.02</v>
      </c>
      <c r="M31" s="5">
        <f>IFERROR(F31/L31,0)</f>
        <v>0.15725531603587453</v>
      </c>
      <c r="N31" s="2">
        <f>IFERROR(E31/D31,0)</f>
        <v>121410.204</v>
      </c>
    </row>
    <row r="32" spans="1:14">
      <c r="A32" t="s">
        <v>12</v>
      </c>
      <c r="B32" t="s">
        <v>75</v>
      </c>
      <c r="C32" t="s">
        <v>94</v>
      </c>
      <c r="D32">
        <f>COUNTIFS('Sorted Data'!$C:$C,$A32,'Sorted Data'!$E:$E,$B32,'Sorted Data'!$G:$G,$C32)</f>
        <v>2</v>
      </c>
      <c r="E32" s="2">
        <f>SUMIFS('Sorted Data'!$Q:$Q,'Sorted Data'!$C:$C,$A32,'Sorted Data'!$E:$E,$B32,'Sorted Data'!$G:$G,$C32)</f>
        <v>606200</v>
      </c>
      <c r="F32" s="2">
        <f>SUMIFS('Sorted Data'!$Q:$Q,'Sorted Data'!$C:$C,$A32,'Sorted Data'!$E:$E,$B32,'Sorted Data'!$G:$G,$C32,'Sorted Data'!$T:$T,"Payment Received")</f>
        <v>0</v>
      </c>
      <c r="G32" s="2">
        <f>SUMIFS('Sorted Data'!$Q:$Q,'Sorted Data'!$C:$C,$A32,'Sorted Data'!$E:$E,$B32,'Sorted Data'!$G:$G,$C32,'Sorted Data'!$T:$T,"PP")</f>
        <v>606200</v>
      </c>
      <c r="H32" s="2">
        <f>SUMIFS('Sorted Data'!$Q:$Q,'Sorted Data'!$C:$C,$A32,'Sorted Data'!$E:$E,$B32,'Sorted Data'!$G:$G,$C32,'Sorted Data'!$T:$T,"IP")</f>
        <v>0</v>
      </c>
      <c r="I32" s="2">
        <f>SUMIFS('Sorted Data'!$Q:$Q,'Sorted Data'!$C:$C,$A32,'Sorted Data'!$E:$E,$B32,'Sorted Data'!$G:$G,$C32,'Sorted Data'!$T:$T,"Backout")</f>
        <v>0</v>
      </c>
      <c r="J32" s="2">
        <f>SUMIFS('Sorted Data'!$Q:$Q,'Sorted Data'!$C:$C,$A32,'Sorted Data'!$E:$E,$B32,'Sorted Data'!$G:$G,$C32,'Sorted Data'!$T:$T,"Credit Note")</f>
        <v>0</v>
      </c>
      <c r="K32" s="2">
        <f>SUMIFS('Sorted Data'!$Q:$Q,'Sorted Data'!$C:$C,$A32,'Sorted Data'!$E:$E,$B32,'Sorted Data'!$G:$G,$C32,'Sorted Data'!$T:$T,"Other / Review")</f>
        <v>0</v>
      </c>
      <c r="L32" s="2">
        <f>F32+G32+H32</f>
        <v>606200</v>
      </c>
      <c r="M32" s="5">
        <f>IFERROR(F32/L32,0)</f>
        <v>0</v>
      </c>
      <c r="N32" s="2">
        <f>IFERROR(E32/D32,0)</f>
        <v>303100</v>
      </c>
    </row>
    <row r="33" spans="1:14">
      <c r="A33" t="s">
        <v>8</v>
      </c>
      <c r="B33" t="s">
        <v>30</v>
      </c>
      <c r="C33" t="s">
        <v>33</v>
      </c>
      <c r="D33">
        <f>COUNTIFS('Sorted Data'!$C:$C,$A33,'Sorted Data'!$E:$E,$B33,'Sorted Data'!$G:$G,$C33)</f>
        <v>1</v>
      </c>
      <c r="E33" s="2">
        <f>SUMIFS('Sorted Data'!$Q:$Q,'Sorted Data'!$C:$C,$A33,'Sorted Data'!$E:$E,$B33,'Sorted Data'!$G:$G,$C33)</f>
        <v>590000</v>
      </c>
      <c r="F33" s="2">
        <f>SUMIFS('Sorted Data'!$Q:$Q,'Sorted Data'!$C:$C,$A33,'Sorted Data'!$E:$E,$B33,'Sorted Data'!$G:$G,$C33,'Sorted Data'!$T:$T,"Payment Received")</f>
        <v>590000</v>
      </c>
      <c r="G33" s="2">
        <f>SUMIFS('Sorted Data'!$Q:$Q,'Sorted Data'!$C:$C,$A33,'Sorted Data'!$E:$E,$B33,'Sorted Data'!$G:$G,$C33,'Sorted Data'!$T:$T,"PP")</f>
        <v>0</v>
      </c>
      <c r="H33" s="2">
        <f>SUMIFS('Sorted Data'!$Q:$Q,'Sorted Data'!$C:$C,$A33,'Sorted Data'!$E:$E,$B33,'Sorted Data'!$G:$G,$C33,'Sorted Data'!$T:$T,"IP")</f>
        <v>0</v>
      </c>
      <c r="I33" s="2">
        <f>SUMIFS('Sorted Data'!$Q:$Q,'Sorted Data'!$C:$C,$A33,'Sorted Data'!$E:$E,$B33,'Sorted Data'!$G:$G,$C33,'Sorted Data'!$T:$T,"Backout")</f>
        <v>0</v>
      </c>
      <c r="J33" s="2">
        <f>SUMIFS('Sorted Data'!$Q:$Q,'Sorted Data'!$C:$C,$A33,'Sorted Data'!$E:$E,$B33,'Sorted Data'!$G:$G,$C33,'Sorted Data'!$T:$T,"Credit Note")</f>
        <v>0</v>
      </c>
      <c r="K33" s="2">
        <f>SUMIFS('Sorted Data'!$Q:$Q,'Sorted Data'!$C:$C,$A33,'Sorted Data'!$E:$E,$B33,'Sorted Data'!$G:$G,$C33,'Sorted Data'!$T:$T,"Other / Review")</f>
        <v>0</v>
      </c>
      <c r="L33" s="2">
        <f>F33+G33+H33</f>
        <v>590000</v>
      </c>
      <c r="M33" s="5">
        <f>IFERROR(F33/L33,0)</f>
        <v>1</v>
      </c>
      <c r="N33" s="2">
        <f>IFERROR(E33/D33,0)</f>
        <v>590000</v>
      </c>
    </row>
    <row r="34" spans="1:14">
      <c r="A34" t="s">
        <v>12</v>
      </c>
      <c r="B34" t="s">
        <v>75</v>
      </c>
      <c r="C34" t="s">
        <v>82</v>
      </c>
      <c r="D34">
        <f>COUNTIFS('Sorted Data'!$C:$C,$A34,'Sorted Data'!$E:$E,$B34,'Sorted Data'!$G:$G,$C34)</f>
        <v>6</v>
      </c>
      <c r="E34" s="2">
        <f>SUMIFS('Sorted Data'!$Q:$Q,'Sorted Data'!$C:$C,$A34,'Sorted Data'!$E:$E,$B34,'Sorted Data'!$G:$G,$C34)</f>
        <v>529850.5</v>
      </c>
      <c r="F34" s="2">
        <f>SUMIFS('Sorted Data'!$Q:$Q,'Sorted Data'!$C:$C,$A34,'Sorted Data'!$E:$E,$B34,'Sorted Data'!$G:$G,$C34,'Sorted Data'!$T:$T,"Payment Received")</f>
        <v>398590.5</v>
      </c>
      <c r="G34" s="2">
        <f>SUMIFS('Sorted Data'!$Q:$Q,'Sorted Data'!$C:$C,$A34,'Sorted Data'!$E:$E,$B34,'Sorted Data'!$G:$G,$C34,'Sorted Data'!$T:$T,"PP")</f>
        <v>131260</v>
      </c>
      <c r="H34" s="2">
        <f>SUMIFS('Sorted Data'!$Q:$Q,'Sorted Data'!$C:$C,$A34,'Sorted Data'!$E:$E,$B34,'Sorted Data'!$G:$G,$C34,'Sorted Data'!$T:$T,"IP")</f>
        <v>0</v>
      </c>
      <c r="I34" s="2">
        <f>SUMIFS('Sorted Data'!$Q:$Q,'Sorted Data'!$C:$C,$A34,'Sorted Data'!$E:$E,$B34,'Sorted Data'!$G:$G,$C34,'Sorted Data'!$T:$T,"Backout")</f>
        <v>0</v>
      </c>
      <c r="J34" s="2">
        <f>SUMIFS('Sorted Data'!$Q:$Q,'Sorted Data'!$C:$C,$A34,'Sorted Data'!$E:$E,$B34,'Sorted Data'!$G:$G,$C34,'Sorted Data'!$T:$T,"Credit Note")</f>
        <v>0</v>
      </c>
      <c r="K34" s="2">
        <f>SUMIFS('Sorted Data'!$Q:$Q,'Sorted Data'!$C:$C,$A34,'Sorted Data'!$E:$E,$B34,'Sorted Data'!$G:$G,$C34,'Sorted Data'!$T:$T,"Other / Review")</f>
        <v>0</v>
      </c>
      <c r="L34" s="2">
        <f>F34+G34+H34</f>
        <v>529850.5</v>
      </c>
      <c r="M34" s="5">
        <f>IFERROR(F34/L34,0)</f>
        <v>0.75226974401269797</v>
      </c>
      <c r="N34" s="2">
        <f>IFERROR(E34/D34,0)</f>
        <v>88308.416666666672</v>
      </c>
    </row>
    <row r="35" spans="1:14">
      <c r="A35" t="s">
        <v>12</v>
      </c>
      <c r="B35" t="s">
        <v>75</v>
      </c>
      <c r="C35" t="s">
        <v>95</v>
      </c>
      <c r="D35">
        <f>COUNTIFS('Sorted Data'!$C:$C,$A35,'Sorted Data'!$E:$E,$B35,'Sorted Data'!$G:$G,$C35)</f>
        <v>4</v>
      </c>
      <c r="E35" s="2">
        <f>SUMIFS('Sorted Data'!$Q:$Q,'Sorted Data'!$C:$C,$A35,'Sorted Data'!$E:$E,$B35,'Sorted Data'!$G:$G,$C35)</f>
        <v>520971</v>
      </c>
      <c r="F35" s="2">
        <f>SUMIFS('Sorted Data'!$Q:$Q,'Sorted Data'!$C:$C,$A35,'Sorted Data'!$E:$E,$B35,'Sorted Data'!$G:$G,$C35,'Sorted Data'!$T:$T,"Payment Received")</f>
        <v>148025</v>
      </c>
      <c r="G35" s="2">
        <f>SUMIFS('Sorted Data'!$Q:$Q,'Sorted Data'!$C:$C,$A35,'Sorted Data'!$E:$E,$B35,'Sorted Data'!$G:$G,$C35,'Sorted Data'!$T:$T,"PP")</f>
        <v>372946</v>
      </c>
      <c r="H35" s="2">
        <f>SUMIFS('Sorted Data'!$Q:$Q,'Sorted Data'!$C:$C,$A35,'Sorted Data'!$E:$E,$B35,'Sorted Data'!$G:$G,$C35,'Sorted Data'!$T:$T,"IP")</f>
        <v>0</v>
      </c>
      <c r="I35" s="2">
        <f>SUMIFS('Sorted Data'!$Q:$Q,'Sorted Data'!$C:$C,$A35,'Sorted Data'!$E:$E,$B35,'Sorted Data'!$G:$G,$C35,'Sorted Data'!$T:$T,"Backout")</f>
        <v>0</v>
      </c>
      <c r="J35" s="2">
        <f>SUMIFS('Sorted Data'!$Q:$Q,'Sorted Data'!$C:$C,$A35,'Sorted Data'!$E:$E,$B35,'Sorted Data'!$G:$G,$C35,'Sorted Data'!$T:$T,"Credit Note")</f>
        <v>0</v>
      </c>
      <c r="K35" s="2">
        <f>SUMIFS('Sorted Data'!$Q:$Q,'Sorted Data'!$C:$C,$A35,'Sorted Data'!$E:$E,$B35,'Sorted Data'!$G:$G,$C35,'Sorted Data'!$T:$T,"Other / Review")</f>
        <v>0</v>
      </c>
      <c r="L35" s="2">
        <f>F35+G35+H35</f>
        <v>520971</v>
      </c>
      <c r="M35" s="5">
        <f>IFERROR(F35/L35,0)</f>
        <v>0.28413289799240266</v>
      </c>
      <c r="N35" s="2">
        <f>IFERROR(E35/D35,0)</f>
        <v>130242.75</v>
      </c>
    </row>
    <row r="36" spans="1:14">
      <c r="A36" t="s">
        <v>12</v>
      </c>
      <c r="B36" t="s">
        <v>75</v>
      </c>
      <c r="C36" t="s">
        <v>91</v>
      </c>
      <c r="D36">
        <f>COUNTIFS('Sorted Data'!$C:$C,$A36,'Sorted Data'!$E:$E,$B36,'Sorted Data'!$G:$G,$C36)</f>
        <v>7</v>
      </c>
      <c r="E36" s="2">
        <f>SUMIFS('Sorted Data'!$Q:$Q,'Sorted Data'!$C:$C,$A36,'Sorted Data'!$E:$E,$B36,'Sorted Data'!$G:$G,$C36)</f>
        <v>517638.28</v>
      </c>
      <c r="F36" s="2">
        <f>SUMIFS('Sorted Data'!$Q:$Q,'Sorted Data'!$C:$C,$A36,'Sorted Data'!$E:$E,$B36,'Sorted Data'!$G:$G,$C36,'Sorted Data'!$T:$T,"Payment Received")</f>
        <v>157020.5</v>
      </c>
      <c r="G36" s="2">
        <f>SUMIFS('Sorted Data'!$Q:$Q,'Sorted Data'!$C:$C,$A36,'Sorted Data'!$E:$E,$B36,'Sorted Data'!$G:$G,$C36,'Sorted Data'!$T:$T,"PP")</f>
        <v>194617.78</v>
      </c>
      <c r="H36" s="2">
        <f>SUMIFS('Sorted Data'!$Q:$Q,'Sorted Data'!$C:$C,$A36,'Sorted Data'!$E:$E,$B36,'Sorted Data'!$G:$G,$C36,'Sorted Data'!$T:$T,"IP")</f>
        <v>166000</v>
      </c>
      <c r="I36" s="2">
        <f>SUMIFS('Sorted Data'!$Q:$Q,'Sorted Data'!$C:$C,$A36,'Sorted Data'!$E:$E,$B36,'Sorted Data'!$G:$G,$C36,'Sorted Data'!$T:$T,"Backout")</f>
        <v>0</v>
      </c>
      <c r="J36" s="2">
        <f>SUMIFS('Sorted Data'!$Q:$Q,'Sorted Data'!$C:$C,$A36,'Sorted Data'!$E:$E,$B36,'Sorted Data'!$G:$G,$C36,'Sorted Data'!$T:$T,"Credit Note")</f>
        <v>0</v>
      </c>
      <c r="K36" s="2">
        <f>SUMIFS('Sorted Data'!$Q:$Q,'Sorted Data'!$C:$C,$A36,'Sorted Data'!$E:$E,$B36,'Sorted Data'!$G:$G,$C36,'Sorted Data'!$T:$T,"Other / Review")</f>
        <v>0</v>
      </c>
      <c r="L36" s="2">
        <f>F36+G36+H36</f>
        <v>517638.28</v>
      </c>
      <c r="M36" s="5">
        <f>IFERROR(F36/L36,0)</f>
        <v>0.30334020119223021</v>
      </c>
      <c r="N36" s="2">
        <f>IFERROR(E36/D36,0)</f>
        <v>73948.325714285718</v>
      </c>
    </row>
    <row r="37" spans="1:14">
      <c r="A37" t="s">
        <v>8</v>
      </c>
      <c r="B37" t="s">
        <v>28</v>
      </c>
      <c r="C37" t="s">
        <v>34</v>
      </c>
      <c r="D37">
        <f>COUNTIFS('Sorted Data'!$C:$C,$A37,'Sorted Data'!$E:$E,$B37,'Sorted Data'!$G:$G,$C37)</f>
        <v>5</v>
      </c>
      <c r="E37" s="2">
        <f>SUMIFS('Sorted Data'!$Q:$Q,'Sorted Data'!$C:$C,$A37,'Sorted Data'!$E:$E,$B37,'Sorted Data'!$G:$G,$C37)</f>
        <v>472510.91</v>
      </c>
      <c r="F37" s="2">
        <f>SUMIFS('Sorted Data'!$Q:$Q,'Sorted Data'!$C:$C,$A37,'Sorted Data'!$E:$E,$B37,'Sorted Data'!$G:$G,$C37,'Sorted Data'!$T:$T,"Payment Received")</f>
        <v>187425</v>
      </c>
      <c r="G37" s="2">
        <f>SUMIFS('Sorted Data'!$Q:$Q,'Sorted Data'!$C:$C,$A37,'Sorted Data'!$E:$E,$B37,'Sorted Data'!$G:$G,$C37,'Sorted Data'!$T:$T,"PP")</f>
        <v>35000</v>
      </c>
      <c r="H37" s="2">
        <f>SUMIFS('Sorted Data'!$Q:$Q,'Sorted Data'!$C:$C,$A37,'Sorted Data'!$E:$E,$B37,'Sorted Data'!$G:$G,$C37,'Sorted Data'!$T:$T,"IP")</f>
        <v>250085.90999999997</v>
      </c>
      <c r="I37" s="2">
        <f>SUMIFS('Sorted Data'!$Q:$Q,'Sorted Data'!$C:$C,$A37,'Sorted Data'!$E:$E,$B37,'Sorted Data'!$G:$G,$C37,'Sorted Data'!$T:$T,"Backout")</f>
        <v>0</v>
      </c>
      <c r="J37" s="2">
        <f>SUMIFS('Sorted Data'!$Q:$Q,'Sorted Data'!$C:$C,$A37,'Sorted Data'!$E:$E,$B37,'Sorted Data'!$G:$G,$C37,'Sorted Data'!$T:$T,"Credit Note")</f>
        <v>0</v>
      </c>
      <c r="K37" s="2">
        <f>SUMIFS('Sorted Data'!$Q:$Q,'Sorted Data'!$C:$C,$A37,'Sorted Data'!$E:$E,$B37,'Sorted Data'!$G:$G,$C37,'Sorted Data'!$T:$T,"Other / Review")</f>
        <v>0</v>
      </c>
      <c r="L37" s="2">
        <f>F37+G37+H37</f>
        <v>472510.91</v>
      </c>
      <c r="M37" s="5">
        <f>IFERROR(F37/L37,0)</f>
        <v>0.39665750786579723</v>
      </c>
      <c r="N37" s="2">
        <f>IFERROR(E37/D37,0)</f>
        <v>94502.182000000001</v>
      </c>
    </row>
    <row r="38" spans="1:14">
      <c r="A38" t="s">
        <v>11</v>
      </c>
      <c r="B38" t="s">
        <v>56</v>
      </c>
      <c r="C38" t="s">
        <v>58</v>
      </c>
      <c r="D38">
        <f>COUNTIFS('Sorted Data'!$C:$C,$A38,'Sorted Data'!$E:$E,$B38,'Sorted Data'!$G:$G,$C38)</f>
        <v>2</v>
      </c>
      <c r="E38" s="2">
        <f>SUMIFS('Sorted Data'!$Q:$Q,'Sorted Data'!$C:$C,$A38,'Sorted Data'!$E:$E,$B38,'Sorted Data'!$G:$G,$C38)</f>
        <v>465709.66</v>
      </c>
      <c r="F38" s="2">
        <f>SUMIFS('Sorted Data'!$Q:$Q,'Sorted Data'!$C:$C,$A38,'Sorted Data'!$E:$E,$B38,'Sorted Data'!$G:$G,$C38,'Sorted Data'!$T:$T,"Payment Received")</f>
        <v>465709.66</v>
      </c>
      <c r="G38" s="2">
        <f>SUMIFS('Sorted Data'!$Q:$Q,'Sorted Data'!$C:$C,$A38,'Sorted Data'!$E:$E,$B38,'Sorted Data'!$G:$G,$C38,'Sorted Data'!$T:$T,"PP")</f>
        <v>0</v>
      </c>
      <c r="H38" s="2">
        <f>SUMIFS('Sorted Data'!$Q:$Q,'Sorted Data'!$C:$C,$A38,'Sorted Data'!$E:$E,$B38,'Sorted Data'!$G:$G,$C38,'Sorted Data'!$T:$T,"IP")</f>
        <v>0</v>
      </c>
      <c r="I38" s="2">
        <f>SUMIFS('Sorted Data'!$Q:$Q,'Sorted Data'!$C:$C,$A38,'Sorted Data'!$E:$E,$B38,'Sorted Data'!$G:$G,$C38,'Sorted Data'!$T:$T,"Backout")</f>
        <v>0</v>
      </c>
      <c r="J38" s="2">
        <f>SUMIFS('Sorted Data'!$Q:$Q,'Sorted Data'!$C:$C,$A38,'Sorted Data'!$E:$E,$B38,'Sorted Data'!$G:$G,$C38,'Sorted Data'!$T:$T,"Credit Note")</f>
        <v>0</v>
      </c>
      <c r="K38" s="2">
        <f>SUMIFS('Sorted Data'!$Q:$Q,'Sorted Data'!$C:$C,$A38,'Sorted Data'!$E:$E,$B38,'Sorted Data'!$G:$G,$C38,'Sorted Data'!$T:$T,"Other / Review")</f>
        <v>0</v>
      </c>
      <c r="L38" s="2">
        <f>F38+G38+H38</f>
        <v>465709.66</v>
      </c>
      <c r="M38" s="5">
        <f>IFERROR(F38/L38,0)</f>
        <v>1</v>
      </c>
      <c r="N38" s="2">
        <f>IFERROR(E38/D38,0)</f>
        <v>232854.83</v>
      </c>
    </row>
    <row r="39" spans="1:14">
      <c r="A39" t="s">
        <v>12</v>
      </c>
      <c r="B39" t="s">
        <v>75</v>
      </c>
      <c r="C39" t="s">
        <v>87</v>
      </c>
      <c r="D39">
        <f>COUNTIFS('Sorted Data'!$C:$C,$A39,'Sorted Data'!$E:$E,$B39,'Sorted Data'!$G:$G,$C39)</f>
        <v>6</v>
      </c>
      <c r="E39" s="2">
        <f>SUMIFS('Sorted Data'!$Q:$Q,'Sorted Data'!$C:$C,$A39,'Sorted Data'!$E:$E,$B39,'Sorted Data'!$G:$G,$C39)</f>
        <v>460971.56880000001</v>
      </c>
      <c r="F39" s="2">
        <f>SUMIFS('Sorted Data'!$Q:$Q,'Sorted Data'!$C:$C,$A39,'Sorted Data'!$E:$E,$B39,'Sorted Data'!$G:$G,$C39,'Sorted Data'!$T:$T,"Payment Received")</f>
        <v>340971.56880000001</v>
      </c>
      <c r="G39" s="2">
        <f>SUMIFS('Sorted Data'!$Q:$Q,'Sorted Data'!$C:$C,$A39,'Sorted Data'!$E:$E,$B39,'Sorted Data'!$G:$G,$C39,'Sorted Data'!$T:$T,"PP")</f>
        <v>0</v>
      </c>
      <c r="H39" s="2">
        <f>SUMIFS('Sorted Data'!$Q:$Q,'Sorted Data'!$C:$C,$A39,'Sorted Data'!$E:$E,$B39,'Sorted Data'!$G:$G,$C39,'Sorted Data'!$T:$T,"IP")</f>
        <v>120000</v>
      </c>
      <c r="I39" s="2">
        <f>SUMIFS('Sorted Data'!$Q:$Q,'Sorted Data'!$C:$C,$A39,'Sorted Data'!$E:$E,$B39,'Sorted Data'!$G:$G,$C39,'Sorted Data'!$T:$T,"Backout")</f>
        <v>0</v>
      </c>
      <c r="J39" s="2">
        <f>SUMIFS('Sorted Data'!$Q:$Q,'Sorted Data'!$C:$C,$A39,'Sorted Data'!$E:$E,$B39,'Sorted Data'!$G:$G,$C39,'Sorted Data'!$T:$T,"Credit Note")</f>
        <v>0</v>
      </c>
      <c r="K39" s="2">
        <f>SUMIFS('Sorted Data'!$Q:$Q,'Sorted Data'!$C:$C,$A39,'Sorted Data'!$E:$E,$B39,'Sorted Data'!$G:$G,$C39,'Sorted Data'!$T:$T,"Other / Review")</f>
        <v>0</v>
      </c>
      <c r="L39" s="2">
        <f>F39+G39+H39</f>
        <v>460971.56880000001</v>
      </c>
      <c r="M39" s="5">
        <f>IFERROR(F39/L39,0)</f>
        <v>0.73968025769488632</v>
      </c>
      <c r="N39" s="2">
        <f>IFERROR(E39/D39,0)</f>
        <v>76828.594800000006</v>
      </c>
    </row>
    <row r="40" spans="1:14">
      <c r="A40" t="s">
        <v>12</v>
      </c>
      <c r="B40" t="s">
        <v>75</v>
      </c>
      <c r="C40" t="s">
        <v>75</v>
      </c>
      <c r="D40">
        <f>COUNTIFS('Sorted Data'!$C:$C,$A40,'Sorted Data'!$E:$E,$B40,'Sorted Data'!$G:$G,$C40)</f>
        <v>1</v>
      </c>
      <c r="E40" s="2">
        <f>SUMIFS('Sorted Data'!$Q:$Q,'Sorted Data'!$C:$C,$A40,'Sorted Data'!$E:$E,$B40,'Sorted Data'!$G:$G,$C40)</f>
        <v>402468.94799999997</v>
      </c>
      <c r="F40" s="2">
        <f>SUMIFS('Sorted Data'!$Q:$Q,'Sorted Data'!$C:$C,$A40,'Sorted Data'!$E:$E,$B40,'Sorted Data'!$G:$G,$C40,'Sorted Data'!$T:$T,"Payment Received")</f>
        <v>402468.94799999997</v>
      </c>
      <c r="G40" s="2">
        <f>SUMIFS('Sorted Data'!$Q:$Q,'Sorted Data'!$C:$C,$A40,'Sorted Data'!$E:$E,$B40,'Sorted Data'!$G:$G,$C40,'Sorted Data'!$T:$T,"PP")</f>
        <v>0</v>
      </c>
      <c r="H40" s="2">
        <f>SUMIFS('Sorted Data'!$Q:$Q,'Sorted Data'!$C:$C,$A40,'Sorted Data'!$E:$E,$B40,'Sorted Data'!$G:$G,$C40,'Sorted Data'!$T:$T,"IP")</f>
        <v>0</v>
      </c>
      <c r="I40" s="2">
        <f>SUMIFS('Sorted Data'!$Q:$Q,'Sorted Data'!$C:$C,$A40,'Sorted Data'!$E:$E,$B40,'Sorted Data'!$G:$G,$C40,'Sorted Data'!$T:$T,"Backout")</f>
        <v>0</v>
      </c>
      <c r="J40" s="2">
        <f>SUMIFS('Sorted Data'!$Q:$Q,'Sorted Data'!$C:$C,$A40,'Sorted Data'!$E:$E,$B40,'Sorted Data'!$G:$G,$C40,'Sorted Data'!$T:$T,"Credit Note")</f>
        <v>0</v>
      </c>
      <c r="K40" s="2">
        <f>SUMIFS('Sorted Data'!$Q:$Q,'Sorted Data'!$C:$C,$A40,'Sorted Data'!$E:$E,$B40,'Sorted Data'!$G:$G,$C40,'Sorted Data'!$T:$T,"Other / Review")</f>
        <v>0</v>
      </c>
      <c r="L40" s="2">
        <f>F40+G40+H40</f>
        <v>402468.94799999997</v>
      </c>
      <c r="M40" s="5">
        <f>IFERROR(F40/L40,0)</f>
        <v>1</v>
      </c>
      <c r="N40" s="2">
        <f>IFERROR(E40/D40,0)</f>
        <v>402468.94799999997</v>
      </c>
    </row>
    <row r="41" spans="1:14">
      <c r="A41" t="s">
        <v>11</v>
      </c>
      <c r="B41" t="s">
        <v>56</v>
      </c>
      <c r="C41" t="s">
        <v>63</v>
      </c>
      <c r="D41">
        <f>COUNTIFS('Sorted Data'!$C:$C,$A41,'Sorted Data'!$E:$E,$B41,'Sorted Data'!$G:$G,$C41)</f>
        <v>4</v>
      </c>
      <c r="E41" s="2">
        <f>SUMIFS('Sorted Data'!$Q:$Q,'Sorted Data'!$C:$C,$A41,'Sorted Data'!$E:$E,$B41,'Sorted Data'!$G:$G,$C41)</f>
        <v>400241.06079999998</v>
      </c>
      <c r="F41" s="2">
        <f>SUMIFS('Sorted Data'!$Q:$Q,'Sorted Data'!$C:$C,$A41,'Sorted Data'!$E:$E,$B41,'Sorted Data'!$G:$G,$C41,'Sorted Data'!$T:$T,"Payment Received")</f>
        <v>400241.06079999998</v>
      </c>
      <c r="G41" s="2">
        <f>SUMIFS('Sorted Data'!$Q:$Q,'Sorted Data'!$C:$C,$A41,'Sorted Data'!$E:$E,$B41,'Sorted Data'!$G:$G,$C41,'Sorted Data'!$T:$T,"PP")</f>
        <v>0</v>
      </c>
      <c r="H41" s="2">
        <f>SUMIFS('Sorted Data'!$Q:$Q,'Sorted Data'!$C:$C,$A41,'Sorted Data'!$E:$E,$B41,'Sorted Data'!$G:$G,$C41,'Sorted Data'!$T:$T,"IP")</f>
        <v>0</v>
      </c>
      <c r="I41" s="2">
        <f>SUMIFS('Sorted Data'!$Q:$Q,'Sorted Data'!$C:$C,$A41,'Sorted Data'!$E:$E,$B41,'Sorted Data'!$G:$G,$C41,'Sorted Data'!$T:$T,"Backout")</f>
        <v>0</v>
      </c>
      <c r="J41" s="2">
        <f>SUMIFS('Sorted Data'!$Q:$Q,'Sorted Data'!$C:$C,$A41,'Sorted Data'!$E:$E,$B41,'Sorted Data'!$G:$G,$C41,'Sorted Data'!$T:$T,"Credit Note")</f>
        <v>0</v>
      </c>
      <c r="K41" s="2">
        <f>SUMIFS('Sorted Data'!$Q:$Q,'Sorted Data'!$C:$C,$A41,'Sorted Data'!$E:$E,$B41,'Sorted Data'!$G:$G,$C41,'Sorted Data'!$T:$T,"Other / Review")</f>
        <v>0</v>
      </c>
      <c r="L41" s="2">
        <f>F41+G41+H41</f>
        <v>400241.06079999998</v>
      </c>
      <c r="M41" s="5">
        <f>IFERROR(F41/L41,0)</f>
        <v>1</v>
      </c>
      <c r="N41" s="2">
        <f>IFERROR(E41/D41,0)</f>
        <v>100060.26519999999</v>
      </c>
    </row>
    <row r="42" spans="1:14">
      <c r="A42" t="s">
        <v>8</v>
      </c>
      <c r="B42" t="s">
        <v>30</v>
      </c>
      <c r="C42" t="s">
        <v>30</v>
      </c>
      <c r="D42">
        <f>COUNTIFS('Sorted Data'!$C:$C,$A42,'Sorted Data'!$E:$E,$B42,'Sorted Data'!$G:$G,$C42)</f>
        <v>1</v>
      </c>
      <c r="E42" s="2">
        <f>SUMIFS('Sorted Data'!$Q:$Q,'Sorted Data'!$C:$C,$A42,'Sorted Data'!$E:$E,$B42,'Sorted Data'!$G:$G,$C42)</f>
        <v>373517.59</v>
      </c>
      <c r="F42" s="2">
        <f>SUMIFS('Sorted Data'!$Q:$Q,'Sorted Data'!$C:$C,$A42,'Sorted Data'!$E:$E,$B42,'Sorted Data'!$G:$G,$C42,'Sorted Data'!$T:$T,"Payment Received")</f>
        <v>373517.59</v>
      </c>
      <c r="G42" s="2">
        <f>SUMIFS('Sorted Data'!$Q:$Q,'Sorted Data'!$C:$C,$A42,'Sorted Data'!$E:$E,$B42,'Sorted Data'!$G:$G,$C42,'Sorted Data'!$T:$T,"PP")</f>
        <v>0</v>
      </c>
      <c r="H42" s="2">
        <f>SUMIFS('Sorted Data'!$Q:$Q,'Sorted Data'!$C:$C,$A42,'Sorted Data'!$E:$E,$B42,'Sorted Data'!$G:$G,$C42,'Sorted Data'!$T:$T,"IP")</f>
        <v>0</v>
      </c>
      <c r="I42" s="2">
        <f>SUMIFS('Sorted Data'!$Q:$Q,'Sorted Data'!$C:$C,$A42,'Sorted Data'!$E:$E,$B42,'Sorted Data'!$G:$G,$C42,'Sorted Data'!$T:$T,"Backout")</f>
        <v>0</v>
      </c>
      <c r="J42" s="2">
        <f>SUMIFS('Sorted Data'!$Q:$Q,'Sorted Data'!$C:$C,$A42,'Sorted Data'!$E:$E,$B42,'Sorted Data'!$G:$G,$C42,'Sorted Data'!$T:$T,"Credit Note")</f>
        <v>0</v>
      </c>
      <c r="K42" s="2">
        <f>SUMIFS('Sorted Data'!$Q:$Q,'Sorted Data'!$C:$C,$A42,'Sorted Data'!$E:$E,$B42,'Sorted Data'!$G:$G,$C42,'Sorted Data'!$T:$T,"Other / Review")</f>
        <v>0</v>
      </c>
      <c r="L42" s="2">
        <f>F42+G42+H42</f>
        <v>373517.59</v>
      </c>
      <c r="M42" s="5">
        <f>IFERROR(F42/L42,0)</f>
        <v>1</v>
      </c>
      <c r="N42" s="2">
        <f>IFERROR(E42/D42,0)</f>
        <v>373517.59</v>
      </c>
    </row>
    <row r="43" spans="1:14">
      <c r="A43" t="s">
        <v>11</v>
      </c>
      <c r="B43" t="s">
        <v>56</v>
      </c>
      <c r="C43" t="s">
        <v>70</v>
      </c>
      <c r="D43">
        <f>COUNTIFS('Sorted Data'!$C:$C,$A43,'Sorted Data'!$E:$E,$B43,'Sorted Data'!$G:$G,$C43)</f>
        <v>5</v>
      </c>
      <c r="E43" s="2">
        <f>SUMIFS('Sorted Data'!$Q:$Q,'Sorted Data'!$C:$C,$A43,'Sorted Data'!$E:$E,$B43,'Sorted Data'!$G:$G,$C43)</f>
        <v>364507.5</v>
      </c>
      <c r="F43" s="2">
        <f>SUMIFS('Sorted Data'!$Q:$Q,'Sorted Data'!$C:$C,$A43,'Sorted Data'!$E:$E,$B43,'Sorted Data'!$G:$G,$C43,'Sorted Data'!$T:$T,"Payment Received")</f>
        <v>364507.5</v>
      </c>
      <c r="G43" s="2">
        <f>SUMIFS('Sorted Data'!$Q:$Q,'Sorted Data'!$C:$C,$A43,'Sorted Data'!$E:$E,$B43,'Sorted Data'!$G:$G,$C43,'Sorted Data'!$T:$T,"PP")</f>
        <v>0</v>
      </c>
      <c r="H43" s="2">
        <f>SUMIFS('Sorted Data'!$Q:$Q,'Sorted Data'!$C:$C,$A43,'Sorted Data'!$E:$E,$B43,'Sorted Data'!$G:$G,$C43,'Sorted Data'!$T:$T,"IP")</f>
        <v>0</v>
      </c>
      <c r="I43" s="2">
        <f>SUMIFS('Sorted Data'!$Q:$Q,'Sorted Data'!$C:$C,$A43,'Sorted Data'!$E:$E,$B43,'Sorted Data'!$G:$G,$C43,'Sorted Data'!$T:$T,"Backout")</f>
        <v>0</v>
      </c>
      <c r="J43" s="2">
        <f>SUMIFS('Sorted Data'!$Q:$Q,'Sorted Data'!$C:$C,$A43,'Sorted Data'!$E:$E,$B43,'Sorted Data'!$G:$G,$C43,'Sorted Data'!$T:$T,"Credit Note")</f>
        <v>0</v>
      </c>
      <c r="K43" s="2">
        <f>SUMIFS('Sorted Data'!$Q:$Q,'Sorted Data'!$C:$C,$A43,'Sorted Data'!$E:$E,$B43,'Sorted Data'!$G:$G,$C43,'Sorted Data'!$T:$T,"Other / Review")</f>
        <v>0</v>
      </c>
      <c r="L43" s="2">
        <f>F43+G43+H43</f>
        <v>364507.5</v>
      </c>
      <c r="M43" s="5">
        <f>IFERROR(F43/L43,0)</f>
        <v>1</v>
      </c>
      <c r="N43" s="2">
        <f>IFERROR(E43/D43,0)</f>
        <v>72901.5</v>
      </c>
    </row>
    <row r="44" spans="1:14">
      <c r="A44" t="s">
        <v>8</v>
      </c>
      <c r="B44" t="s">
        <v>28</v>
      </c>
      <c r="C44" t="s">
        <v>32</v>
      </c>
      <c r="D44">
        <f>COUNTIFS('Sorted Data'!$C:$C,$A44,'Sorted Data'!$E:$E,$B44,'Sorted Data'!$G:$G,$C44)</f>
        <v>4</v>
      </c>
      <c r="E44" s="2">
        <f>SUMIFS('Sorted Data'!$Q:$Q,'Sorted Data'!$C:$C,$A44,'Sorted Data'!$E:$E,$B44,'Sorted Data'!$G:$G,$C44)</f>
        <v>355506.56999999995</v>
      </c>
      <c r="F44" s="2">
        <f>SUMIFS('Sorted Data'!$Q:$Q,'Sorted Data'!$C:$C,$A44,'Sorted Data'!$E:$E,$B44,'Sorted Data'!$G:$G,$C44,'Sorted Data'!$T:$T,"Payment Received")</f>
        <v>42982.8</v>
      </c>
      <c r="G44" s="2">
        <f>SUMIFS('Sorted Data'!$Q:$Q,'Sorted Data'!$C:$C,$A44,'Sorted Data'!$E:$E,$B44,'Sorted Data'!$G:$G,$C44,'Sorted Data'!$T:$T,"PP")</f>
        <v>62475</v>
      </c>
      <c r="H44" s="2">
        <f>SUMIFS('Sorted Data'!$Q:$Q,'Sorted Data'!$C:$C,$A44,'Sorted Data'!$E:$E,$B44,'Sorted Data'!$G:$G,$C44,'Sorted Data'!$T:$T,"IP")</f>
        <v>250048.77</v>
      </c>
      <c r="I44" s="2">
        <f>SUMIFS('Sorted Data'!$Q:$Q,'Sorted Data'!$C:$C,$A44,'Sorted Data'!$E:$E,$B44,'Sorted Data'!$G:$G,$C44,'Sorted Data'!$T:$T,"Backout")</f>
        <v>0</v>
      </c>
      <c r="J44" s="2">
        <f>SUMIFS('Sorted Data'!$Q:$Q,'Sorted Data'!$C:$C,$A44,'Sorted Data'!$E:$E,$B44,'Sorted Data'!$G:$G,$C44,'Sorted Data'!$T:$T,"Credit Note")</f>
        <v>0</v>
      </c>
      <c r="K44" s="2">
        <f>SUMIFS('Sorted Data'!$Q:$Q,'Sorted Data'!$C:$C,$A44,'Sorted Data'!$E:$E,$B44,'Sorted Data'!$G:$G,$C44,'Sorted Data'!$T:$T,"Other / Review")</f>
        <v>0</v>
      </c>
      <c r="L44" s="2">
        <f>F44+G44+H44</f>
        <v>355506.57</v>
      </c>
      <c r="M44" s="5">
        <f>IFERROR(F44/L44,0)</f>
        <v>0.12090578241634185</v>
      </c>
      <c r="N44" s="2">
        <f>IFERROR(E44/D44,0)</f>
        <v>88876.642499999987</v>
      </c>
    </row>
    <row r="45" spans="1:14">
      <c r="A45" t="s">
        <v>10</v>
      </c>
      <c r="B45" t="s">
        <v>40</v>
      </c>
      <c r="C45" t="s">
        <v>50</v>
      </c>
      <c r="D45">
        <f>COUNTIFS('Sorted Data'!$C:$C,$A45,'Sorted Data'!$E:$E,$B45,'Sorted Data'!$G:$G,$C45)</f>
        <v>5</v>
      </c>
      <c r="E45" s="2">
        <f>SUMIFS('Sorted Data'!$Q:$Q,'Sorted Data'!$C:$C,$A45,'Sorted Data'!$E:$E,$B45,'Sorted Data'!$G:$G,$C45)</f>
        <v>354813.07</v>
      </c>
      <c r="F45" s="2">
        <f>SUMIFS('Sorted Data'!$Q:$Q,'Sorted Data'!$C:$C,$A45,'Sorted Data'!$E:$E,$B45,'Sorted Data'!$G:$G,$C45,'Sorted Data'!$T:$T,"Payment Received")</f>
        <v>72592.670000000013</v>
      </c>
      <c r="G45" s="2">
        <f>SUMIFS('Sorted Data'!$Q:$Q,'Sorted Data'!$C:$C,$A45,'Sorted Data'!$E:$E,$B45,'Sorted Data'!$G:$G,$C45,'Sorted Data'!$T:$T,"PP")</f>
        <v>282220.40000000002</v>
      </c>
      <c r="H45" s="2">
        <f>SUMIFS('Sorted Data'!$Q:$Q,'Sorted Data'!$C:$C,$A45,'Sorted Data'!$E:$E,$B45,'Sorted Data'!$G:$G,$C45,'Sorted Data'!$T:$T,"IP")</f>
        <v>0</v>
      </c>
      <c r="I45" s="2">
        <f>SUMIFS('Sorted Data'!$Q:$Q,'Sorted Data'!$C:$C,$A45,'Sorted Data'!$E:$E,$B45,'Sorted Data'!$G:$G,$C45,'Sorted Data'!$T:$T,"Backout")</f>
        <v>0</v>
      </c>
      <c r="J45" s="2">
        <f>SUMIFS('Sorted Data'!$Q:$Q,'Sorted Data'!$C:$C,$A45,'Sorted Data'!$E:$E,$B45,'Sorted Data'!$G:$G,$C45,'Sorted Data'!$T:$T,"Credit Note")</f>
        <v>0</v>
      </c>
      <c r="K45" s="2">
        <f>SUMIFS('Sorted Data'!$Q:$Q,'Sorted Data'!$C:$C,$A45,'Sorted Data'!$E:$E,$B45,'Sorted Data'!$G:$G,$C45,'Sorted Data'!$T:$T,"Other / Review")</f>
        <v>0</v>
      </c>
      <c r="L45" s="2">
        <f>F45+G45+H45</f>
        <v>354813.07000000007</v>
      </c>
      <c r="M45" s="5">
        <f>IFERROR(F45/L45,0)</f>
        <v>0.20459412614084369</v>
      </c>
      <c r="N45" s="2">
        <f>IFERROR(E45/D45,0)</f>
        <v>70962.614000000001</v>
      </c>
    </row>
    <row r="46" spans="1:14">
      <c r="A46" t="s">
        <v>12</v>
      </c>
      <c r="B46" t="s">
        <v>75</v>
      </c>
      <c r="C46" t="s">
        <v>98</v>
      </c>
      <c r="D46">
        <f>COUNTIFS('Sorted Data'!$C:$C,$A46,'Sorted Data'!$E:$E,$B46,'Sorted Data'!$G:$G,$C46)</f>
        <v>5</v>
      </c>
      <c r="E46" s="2">
        <f>SUMIFS('Sorted Data'!$Q:$Q,'Sorted Data'!$C:$C,$A46,'Sorted Data'!$E:$E,$B46,'Sorted Data'!$G:$G,$C46)</f>
        <v>294932</v>
      </c>
      <c r="F46" s="2">
        <f>SUMIFS('Sorted Data'!$Q:$Q,'Sorted Data'!$C:$C,$A46,'Sorted Data'!$E:$E,$B46,'Sorted Data'!$G:$G,$C46,'Sorted Data'!$T:$T,"Payment Received")</f>
        <v>124950</v>
      </c>
      <c r="G46" s="2">
        <f>SUMIFS('Sorted Data'!$Q:$Q,'Sorted Data'!$C:$C,$A46,'Sorted Data'!$E:$E,$B46,'Sorted Data'!$G:$G,$C46,'Sorted Data'!$T:$T,"PP")</f>
        <v>44982</v>
      </c>
      <c r="H46" s="2">
        <f>SUMIFS('Sorted Data'!$Q:$Q,'Sorted Data'!$C:$C,$A46,'Sorted Data'!$E:$E,$B46,'Sorted Data'!$G:$G,$C46,'Sorted Data'!$T:$T,"IP")</f>
        <v>125000</v>
      </c>
      <c r="I46" s="2">
        <f>SUMIFS('Sorted Data'!$Q:$Q,'Sorted Data'!$C:$C,$A46,'Sorted Data'!$E:$E,$B46,'Sorted Data'!$G:$G,$C46,'Sorted Data'!$T:$T,"Backout")</f>
        <v>0</v>
      </c>
      <c r="J46" s="2">
        <f>SUMIFS('Sorted Data'!$Q:$Q,'Sorted Data'!$C:$C,$A46,'Sorted Data'!$E:$E,$B46,'Sorted Data'!$G:$G,$C46,'Sorted Data'!$T:$T,"Credit Note")</f>
        <v>0</v>
      </c>
      <c r="K46" s="2">
        <f>SUMIFS('Sorted Data'!$Q:$Q,'Sorted Data'!$C:$C,$A46,'Sorted Data'!$E:$E,$B46,'Sorted Data'!$G:$G,$C46,'Sorted Data'!$T:$T,"Other / Review")</f>
        <v>0</v>
      </c>
      <c r="L46" s="2">
        <f>F46+G46+H46</f>
        <v>294932</v>
      </c>
      <c r="M46" s="5">
        <f>IFERROR(F46/L46,0)</f>
        <v>0.42365697855776924</v>
      </c>
      <c r="N46" s="2">
        <f>IFERROR(E46/D46,0)</f>
        <v>58986.400000000001</v>
      </c>
    </row>
    <row r="47" spans="1:14">
      <c r="A47" t="s">
        <v>10</v>
      </c>
      <c r="B47" t="s">
        <v>40</v>
      </c>
      <c r="C47" t="s">
        <v>45</v>
      </c>
      <c r="D47">
        <f>COUNTIFS('Sorted Data'!$C:$C,$A47,'Sorted Data'!$E:$E,$B47,'Sorted Data'!$G:$G,$C47)</f>
        <v>1</v>
      </c>
      <c r="E47" s="2">
        <f>SUMIFS('Sorted Data'!$Q:$Q,'Sorted Data'!$C:$C,$A47,'Sorted Data'!$E:$E,$B47,'Sorted Data'!$G:$G,$C47)</f>
        <v>292426.7</v>
      </c>
      <c r="F47" s="2">
        <f>SUMIFS('Sorted Data'!$Q:$Q,'Sorted Data'!$C:$C,$A47,'Sorted Data'!$E:$E,$B47,'Sorted Data'!$G:$G,$C47,'Sorted Data'!$T:$T,"Payment Received")</f>
        <v>292426.7</v>
      </c>
      <c r="G47" s="2">
        <f>SUMIFS('Sorted Data'!$Q:$Q,'Sorted Data'!$C:$C,$A47,'Sorted Data'!$E:$E,$B47,'Sorted Data'!$G:$G,$C47,'Sorted Data'!$T:$T,"PP")</f>
        <v>0</v>
      </c>
      <c r="H47" s="2">
        <f>SUMIFS('Sorted Data'!$Q:$Q,'Sorted Data'!$C:$C,$A47,'Sorted Data'!$E:$E,$B47,'Sorted Data'!$G:$G,$C47,'Sorted Data'!$T:$T,"IP")</f>
        <v>0</v>
      </c>
      <c r="I47" s="2">
        <f>SUMIFS('Sorted Data'!$Q:$Q,'Sorted Data'!$C:$C,$A47,'Sorted Data'!$E:$E,$B47,'Sorted Data'!$G:$G,$C47,'Sorted Data'!$T:$T,"Backout")</f>
        <v>0</v>
      </c>
      <c r="J47" s="2">
        <f>SUMIFS('Sorted Data'!$Q:$Q,'Sorted Data'!$C:$C,$A47,'Sorted Data'!$E:$E,$B47,'Sorted Data'!$G:$G,$C47,'Sorted Data'!$T:$T,"Credit Note")</f>
        <v>0</v>
      </c>
      <c r="K47" s="2">
        <f>SUMIFS('Sorted Data'!$Q:$Q,'Sorted Data'!$C:$C,$A47,'Sorted Data'!$E:$E,$B47,'Sorted Data'!$G:$G,$C47,'Sorted Data'!$T:$T,"Other / Review")</f>
        <v>0</v>
      </c>
      <c r="L47" s="2">
        <f>F47+G47+H47</f>
        <v>292426.7</v>
      </c>
      <c r="M47" s="5">
        <f>IFERROR(F47/L47,0)</f>
        <v>1</v>
      </c>
      <c r="N47" s="2">
        <f>IFERROR(E47/D47,0)</f>
        <v>292426.7</v>
      </c>
    </row>
    <row r="48" spans="1:14">
      <c r="A48" t="s">
        <v>8</v>
      </c>
      <c r="B48" t="s">
        <v>33</v>
      </c>
      <c r="C48" t="s">
        <v>33</v>
      </c>
      <c r="D48">
        <f>COUNTIFS('Sorted Data'!$C:$C,$A48,'Sorted Data'!$E:$E,$B48,'Sorted Data'!$G:$G,$C48)</f>
        <v>2</v>
      </c>
      <c r="E48" s="2">
        <f>SUMIFS('Sorted Data'!$Q:$Q,'Sorted Data'!$C:$C,$A48,'Sorted Data'!$E:$E,$B48,'Sorted Data'!$G:$G,$C48)</f>
        <v>287385</v>
      </c>
      <c r="F48" s="2">
        <f>SUMIFS('Sorted Data'!$Q:$Q,'Sorted Data'!$C:$C,$A48,'Sorted Data'!$E:$E,$B48,'Sorted Data'!$G:$G,$C48,'Sorted Data'!$T:$T,"Payment Received")</f>
        <v>0</v>
      </c>
      <c r="G48" s="2">
        <f>SUMIFS('Sorted Data'!$Q:$Q,'Sorted Data'!$C:$C,$A48,'Sorted Data'!$E:$E,$B48,'Sorted Data'!$G:$G,$C48,'Sorted Data'!$T:$T,"PP")</f>
        <v>287385</v>
      </c>
      <c r="H48" s="2">
        <f>SUMIFS('Sorted Data'!$Q:$Q,'Sorted Data'!$C:$C,$A48,'Sorted Data'!$E:$E,$B48,'Sorted Data'!$G:$G,$C48,'Sorted Data'!$T:$T,"IP")</f>
        <v>0</v>
      </c>
      <c r="I48" s="2">
        <f>SUMIFS('Sorted Data'!$Q:$Q,'Sorted Data'!$C:$C,$A48,'Sorted Data'!$E:$E,$B48,'Sorted Data'!$G:$G,$C48,'Sorted Data'!$T:$T,"Backout")</f>
        <v>0</v>
      </c>
      <c r="J48" s="2">
        <f>SUMIFS('Sorted Data'!$Q:$Q,'Sorted Data'!$C:$C,$A48,'Sorted Data'!$E:$E,$B48,'Sorted Data'!$G:$G,$C48,'Sorted Data'!$T:$T,"Credit Note")</f>
        <v>0</v>
      </c>
      <c r="K48" s="2">
        <f>SUMIFS('Sorted Data'!$Q:$Q,'Sorted Data'!$C:$C,$A48,'Sorted Data'!$E:$E,$B48,'Sorted Data'!$G:$G,$C48,'Sorted Data'!$T:$T,"Other / Review")</f>
        <v>0</v>
      </c>
      <c r="L48" s="2">
        <f>F48+G48+H48</f>
        <v>287385</v>
      </c>
      <c r="M48" s="5">
        <f>IFERROR(F48/L48,0)</f>
        <v>0</v>
      </c>
      <c r="N48" s="2">
        <f>IFERROR(E48/D48,0)</f>
        <v>143692.5</v>
      </c>
    </row>
    <row r="49" spans="1:14">
      <c r="A49" t="s">
        <v>10</v>
      </c>
      <c r="B49" t="s">
        <v>40</v>
      </c>
      <c r="C49" t="s">
        <v>48</v>
      </c>
      <c r="D49">
        <f>COUNTIFS('Sorted Data'!$C:$C,$A49,'Sorted Data'!$E:$E,$B49,'Sorted Data'!$G:$G,$C49)</f>
        <v>3</v>
      </c>
      <c r="E49" s="2">
        <f>SUMIFS('Sorted Data'!$Q:$Q,'Sorted Data'!$C:$C,$A49,'Sorted Data'!$E:$E,$B49,'Sorted Data'!$G:$G,$C49)</f>
        <v>281878.8</v>
      </c>
      <c r="F49" s="2">
        <f>SUMIFS('Sorted Data'!$Q:$Q,'Sorted Data'!$C:$C,$A49,'Sorted Data'!$E:$E,$B49,'Sorted Data'!$G:$G,$C49,'Sorted Data'!$T:$T,"Payment Received")</f>
        <v>281878.8</v>
      </c>
      <c r="G49" s="2">
        <f>SUMIFS('Sorted Data'!$Q:$Q,'Sorted Data'!$C:$C,$A49,'Sorted Data'!$E:$E,$B49,'Sorted Data'!$G:$G,$C49,'Sorted Data'!$T:$T,"PP")</f>
        <v>0</v>
      </c>
      <c r="H49" s="2">
        <f>SUMIFS('Sorted Data'!$Q:$Q,'Sorted Data'!$C:$C,$A49,'Sorted Data'!$E:$E,$B49,'Sorted Data'!$G:$G,$C49,'Sorted Data'!$T:$T,"IP")</f>
        <v>0</v>
      </c>
      <c r="I49" s="2">
        <f>SUMIFS('Sorted Data'!$Q:$Q,'Sorted Data'!$C:$C,$A49,'Sorted Data'!$E:$E,$B49,'Sorted Data'!$G:$G,$C49,'Sorted Data'!$T:$T,"Backout")</f>
        <v>0</v>
      </c>
      <c r="J49" s="2">
        <f>SUMIFS('Sorted Data'!$Q:$Q,'Sorted Data'!$C:$C,$A49,'Sorted Data'!$E:$E,$B49,'Sorted Data'!$G:$G,$C49,'Sorted Data'!$T:$T,"Credit Note")</f>
        <v>0</v>
      </c>
      <c r="K49" s="2">
        <f>SUMIFS('Sorted Data'!$Q:$Q,'Sorted Data'!$C:$C,$A49,'Sorted Data'!$E:$E,$B49,'Sorted Data'!$G:$G,$C49,'Sorted Data'!$T:$T,"Other / Review")</f>
        <v>0</v>
      </c>
      <c r="L49" s="2">
        <f>F49+G49+H49</f>
        <v>281878.8</v>
      </c>
      <c r="M49" s="5">
        <f>IFERROR(F49/L49,0)</f>
        <v>1</v>
      </c>
      <c r="N49" s="2">
        <f>IFERROR(E49/D49,0)</f>
        <v>93959.599999999991</v>
      </c>
    </row>
    <row r="50" spans="1:14">
      <c r="A50" t="s">
        <v>8</v>
      </c>
      <c r="B50" t="s">
        <v>30</v>
      </c>
      <c r="C50" t="s">
        <v>34</v>
      </c>
      <c r="D50">
        <f>COUNTIFS('Sorted Data'!$C:$C,$A50,'Sorted Data'!$E:$E,$B50,'Sorted Data'!$G:$G,$C50)</f>
        <v>2</v>
      </c>
      <c r="E50" s="2">
        <f>SUMIFS('Sorted Data'!$Q:$Q,'Sorted Data'!$C:$C,$A50,'Sorted Data'!$E:$E,$B50,'Sorted Data'!$G:$G,$C50)</f>
        <v>270725</v>
      </c>
      <c r="F50" s="2">
        <f>SUMIFS('Sorted Data'!$Q:$Q,'Sorted Data'!$C:$C,$A50,'Sorted Data'!$E:$E,$B50,'Sorted Data'!$G:$G,$C50,'Sorted Data'!$T:$T,"Payment Received")</f>
        <v>87465</v>
      </c>
      <c r="G50" s="2">
        <f>SUMIFS('Sorted Data'!$Q:$Q,'Sorted Data'!$C:$C,$A50,'Sorted Data'!$E:$E,$B50,'Sorted Data'!$G:$G,$C50,'Sorted Data'!$T:$T,"PP")</f>
        <v>183260</v>
      </c>
      <c r="H50" s="2">
        <f>SUMIFS('Sorted Data'!$Q:$Q,'Sorted Data'!$C:$C,$A50,'Sorted Data'!$E:$E,$B50,'Sorted Data'!$G:$G,$C50,'Sorted Data'!$T:$T,"IP")</f>
        <v>0</v>
      </c>
      <c r="I50" s="2">
        <f>SUMIFS('Sorted Data'!$Q:$Q,'Sorted Data'!$C:$C,$A50,'Sorted Data'!$E:$E,$B50,'Sorted Data'!$G:$G,$C50,'Sorted Data'!$T:$T,"Backout")</f>
        <v>0</v>
      </c>
      <c r="J50" s="2">
        <f>SUMIFS('Sorted Data'!$Q:$Q,'Sorted Data'!$C:$C,$A50,'Sorted Data'!$E:$E,$B50,'Sorted Data'!$G:$G,$C50,'Sorted Data'!$T:$T,"Credit Note")</f>
        <v>0</v>
      </c>
      <c r="K50" s="2">
        <f>SUMIFS('Sorted Data'!$Q:$Q,'Sorted Data'!$C:$C,$A50,'Sorted Data'!$E:$E,$B50,'Sorted Data'!$G:$G,$C50,'Sorted Data'!$T:$T,"Other / Review")</f>
        <v>0</v>
      </c>
      <c r="L50" s="2">
        <f>F50+G50+H50</f>
        <v>270725</v>
      </c>
      <c r="M50" s="5">
        <f>IFERROR(F50/L50,0)</f>
        <v>0.32307692307692309</v>
      </c>
      <c r="N50" s="2">
        <f>IFERROR(E50/D50,0)</f>
        <v>135362.5</v>
      </c>
    </row>
    <row r="51" spans="1:14">
      <c r="A51" t="s">
        <v>10</v>
      </c>
      <c r="B51" t="s">
        <v>40</v>
      </c>
      <c r="C51" t="s">
        <v>43</v>
      </c>
      <c r="D51">
        <f>COUNTIFS('Sorted Data'!$C:$C,$A51,'Sorted Data'!$E:$E,$B51,'Sorted Data'!$G:$G,$C51)</f>
        <v>5</v>
      </c>
      <c r="E51" s="2">
        <f>SUMIFS('Sorted Data'!$Q:$Q,'Sorted Data'!$C:$C,$A51,'Sorted Data'!$E:$E,$B51,'Sorted Data'!$G:$G,$C51)</f>
        <v>269412.94</v>
      </c>
      <c r="F51" s="2">
        <f>SUMIFS('Sorted Data'!$Q:$Q,'Sorted Data'!$C:$C,$A51,'Sorted Data'!$E:$E,$B51,'Sorted Data'!$G:$G,$C51,'Sorted Data'!$T:$T,"Payment Received")</f>
        <v>145450.13</v>
      </c>
      <c r="G51" s="2">
        <f>SUMIFS('Sorted Data'!$Q:$Q,'Sorted Data'!$C:$C,$A51,'Sorted Data'!$E:$E,$B51,'Sorted Data'!$G:$G,$C51,'Sorted Data'!$T:$T,"PP")</f>
        <v>0</v>
      </c>
      <c r="H51" s="2">
        <f>SUMIFS('Sorted Data'!$Q:$Q,'Sorted Data'!$C:$C,$A51,'Sorted Data'!$E:$E,$B51,'Sorted Data'!$G:$G,$C51,'Sorted Data'!$T:$T,"IP")</f>
        <v>123962.81</v>
      </c>
      <c r="I51" s="2">
        <f>SUMIFS('Sorted Data'!$Q:$Q,'Sorted Data'!$C:$C,$A51,'Sorted Data'!$E:$E,$B51,'Sorted Data'!$G:$G,$C51,'Sorted Data'!$T:$T,"Backout")</f>
        <v>0</v>
      </c>
      <c r="J51" s="2">
        <f>SUMIFS('Sorted Data'!$Q:$Q,'Sorted Data'!$C:$C,$A51,'Sorted Data'!$E:$E,$B51,'Sorted Data'!$G:$G,$C51,'Sorted Data'!$T:$T,"Credit Note")</f>
        <v>0</v>
      </c>
      <c r="K51" s="2">
        <f>SUMIFS('Sorted Data'!$Q:$Q,'Sorted Data'!$C:$C,$A51,'Sorted Data'!$E:$E,$B51,'Sorted Data'!$G:$G,$C51,'Sorted Data'!$T:$T,"Other / Review")</f>
        <v>0</v>
      </c>
      <c r="L51" s="2">
        <f>F51+G51+H51</f>
        <v>269412.94</v>
      </c>
      <c r="M51" s="5">
        <f>IFERROR(F51/L51,0)</f>
        <v>0.53987804000802631</v>
      </c>
      <c r="N51" s="2">
        <f>IFERROR(E51/D51,0)</f>
        <v>53882.588000000003</v>
      </c>
    </row>
    <row r="52" spans="1:14">
      <c r="A52" t="s">
        <v>12</v>
      </c>
      <c r="B52" t="s">
        <v>75</v>
      </c>
      <c r="C52" t="s">
        <v>76</v>
      </c>
      <c r="D52">
        <f>COUNTIFS('Sorted Data'!$C:$C,$A52,'Sorted Data'!$E:$E,$B52,'Sorted Data'!$G:$G,$C52)</f>
        <v>2</v>
      </c>
      <c r="E52" s="2">
        <f>SUMIFS('Sorted Data'!$Q:$Q,'Sorted Data'!$C:$C,$A52,'Sorted Data'!$E:$E,$B52,'Sorted Data'!$G:$G,$C52)</f>
        <v>265795</v>
      </c>
      <c r="F52" s="2">
        <f>SUMIFS('Sorted Data'!$Q:$Q,'Sorted Data'!$C:$C,$A52,'Sorted Data'!$E:$E,$B52,'Sorted Data'!$G:$G,$C52,'Sorted Data'!$T:$T,"Payment Received")</f>
        <v>95795</v>
      </c>
      <c r="G52" s="2">
        <f>SUMIFS('Sorted Data'!$Q:$Q,'Sorted Data'!$C:$C,$A52,'Sorted Data'!$E:$E,$B52,'Sorted Data'!$G:$G,$C52,'Sorted Data'!$T:$T,"PP")</f>
        <v>0</v>
      </c>
      <c r="H52" s="2">
        <f>SUMIFS('Sorted Data'!$Q:$Q,'Sorted Data'!$C:$C,$A52,'Sorted Data'!$E:$E,$B52,'Sorted Data'!$G:$G,$C52,'Sorted Data'!$T:$T,"IP")</f>
        <v>170000</v>
      </c>
      <c r="I52" s="2">
        <f>SUMIFS('Sorted Data'!$Q:$Q,'Sorted Data'!$C:$C,$A52,'Sorted Data'!$E:$E,$B52,'Sorted Data'!$G:$G,$C52,'Sorted Data'!$T:$T,"Backout")</f>
        <v>0</v>
      </c>
      <c r="J52" s="2">
        <f>SUMIFS('Sorted Data'!$Q:$Q,'Sorted Data'!$C:$C,$A52,'Sorted Data'!$E:$E,$B52,'Sorted Data'!$G:$G,$C52,'Sorted Data'!$T:$T,"Credit Note")</f>
        <v>0</v>
      </c>
      <c r="K52" s="2">
        <f>SUMIFS('Sorted Data'!$Q:$Q,'Sorted Data'!$C:$C,$A52,'Sorted Data'!$E:$E,$B52,'Sorted Data'!$G:$G,$C52,'Sorted Data'!$T:$T,"Other / Review")</f>
        <v>0</v>
      </c>
      <c r="L52" s="2">
        <f>F52+G52+H52</f>
        <v>265795</v>
      </c>
      <c r="M52" s="5">
        <f>IFERROR(F52/L52,0)</f>
        <v>0.36040933802366487</v>
      </c>
      <c r="N52" s="2">
        <f>IFERROR(E52/D52,0)</f>
        <v>132897.5</v>
      </c>
    </row>
    <row r="53" spans="1:14">
      <c r="A53" t="s">
        <v>12</v>
      </c>
      <c r="B53" t="s">
        <v>75</v>
      </c>
      <c r="C53" t="s">
        <v>84</v>
      </c>
      <c r="D53">
        <f>COUNTIFS('Sorted Data'!$C:$C,$A53,'Sorted Data'!$E:$E,$B53,'Sorted Data'!$G:$G,$C53)</f>
        <v>1</v>
      </c>
      <c r="E53" s="2">
        <f>SUMIFS('Sorted Data'!$Q:$Q,'Sorted Data'!$C:$C,$A53,'Sorted Data'!$E:$E,$B53,'Sorted Data'!$G:$G,$C53)</f>
        <v>238750</v>
      </c>
      <c r="F53" s="2">
        <f>SUMIFS('Sorted Data'!$Q:$Q,'Sorted Data'!$C:$C,$A53,'Sorted Data'!$E:$E,$B53,'Sorted Data'!$G:$G,$C53,'Sorted Data'!$T:$T,"Payment Received")</f>
        <v>238750</v>
      </c>
      <c r="G53" s="2">
        <f>SUMIFS('Sorted Data'!$Q:$Q,'Sorted Data'!$C:$C,$A53,'Sorted Data'!$E:$E,$B53,'Sorted Data'!$G:$G,$C53,'Sorted Data'!$T:$T,"PP")</f>
        <v>0</v>
      </c>
      <c r="H53" s="2">
        <f>SUMIFS('Sorted Data'!$Q:$Q,'Sorted Data'!$C:$C,$A53,'Sorted Data'!$E:$E,$B53,'Sorted Data'!$G:$G,$C53,'Sorted Data'!$T:$T,"IP")</f>
        <v>0</v>
      </c>
      <c r="I53" s="2">
        <f>SUMIFS('Sorted Data'!$Q:$Q,'Sorted Data'!$C:$C,$A53,'Sorted Data'!$E:$E,$B53,'Sorted Data'!$G:$G,$C53,'Sorted Data'!$T:$T,"Backout")</f>
        <v>0</v>
      </c>
      <c r="J53" s="2">
        <f>SUMIFS('Sorted Data'!$Q:$Q,'Sorted Data'!$C:$C,$A53,'Sorted Data'!$E:$E,$B53,'Sorted Data'!$G:$G,$C53,'Sorted Data'!$T:$T,"Credit Note")</f>
        <v>0</v>
      </c>
      <c r="K53" s="2">
        <f>SUMIFS('Sorted Data'!$Q:$Q,'Sorted Data'!$C:$C,$A53,'Sorted Data'!$E:$E,$B53,'Sorted Data'!$G:$G,$C53,'Sorted Data'!$T:$T,"Other / Review")</f>
        <v>0</v>
      </c>
      <c r="L53" s="2">
        <f>F53+G53+H53</f>
        <v>238750</v>
      </c>
      <c r="M53" s="5">
        <f>IFERROR(F53/L53,0)</f>
        <v>1</v>
      </c>
      <c r="N53" s="2">
        <f>IFERROR(E53/D53,0)</f>
        <v>238750</v>
      </c>
    </row>
    <row r="54" spans="1:14">
      <c r="A54" t="s">
        <v>11</v>
      </c>
      <c r="B54" t="s">
        <v>56</v>
      </c>
      <c r="C54" t="s">
        <v>69</v>
      </c>
      <c r="D54">
        <f>COUNTIFS('Sorted Data'!$C:$C,$A54,'Sorted Data'!$E:$E,$B54,'Sorted Data'!$G:$G,$C54)</f>
        <v>3</v>
      </c>
      <c r="E54" s="2">
        <f>SUMIFS('Sorted Data'!$Q:$Q,'Sorted Data'!$C:$C,$A54,'Sorted Data'!$E:$E,$B54,'Sorted Data'!$G:$G,$C54)</f>
        <v>238350</v>
      </c>
      <c r="F54" s="2">
        <f>SUMIFS('Sorted Data'!$Q:$Q,'Sorted Data'!$C:$C,$A54,'Sorted Data'!$E:$E,$B54,'Sorted Data'!$G:$G,$C54,'Sorted Data'!$T:$T,"Payment Received")</f>
        <v>238350</v>
      </c>
      <c r="G54" s="2">
        <f>SUMIFS('Sorted Data'!$Q:$Q,'Sorted Data'!$C:$C,$A54,'Sorted Data'!$E:$E,$B54,'Sorted Data'!$G:$G,$C54,'Sorted Data'!$T:$T,"PP")</f>
        <v>0</v>
      </c>
      <c r="H54" s="2">
        <f>SUMIFS('Sorted Data'!$Q:$Q,'Sorted Data'!$C:$C,$A54,'Sorted Data'!$E:$E,$B54,'Sorted Data'!$G:$G,$C54,'Sorted Data'!$T:$T,"IP")</f>
        <v>0</v>
      </c>
      <c r="I54" s="2">
        <f>SUMIFS('Sorted Data'!$Q:$Q,'Sorted Data'!$C:$C,$A54,'Sorted Data'!$E:$E,$B54,'Sorted Data'!$G:$G,$C54,'Sorted Data'!$T:$T,"Backout")</f>
        <v>0</v>
      </c>
      <c r="J54" s="2">
        <f>SUMIFS('Sorted Data'!$Q:$Q,'Sorted Data'!$C:$C,$A54,'Sorted Data'!$E:$E,$B54,'Sorted Data'!$G:$G,$C54,'Sorted Data'!$T:$T,"Credit Note")</f>
        <v>0</v>
      </c>
      <c r="K54" s="2">
        <f>SUMIFS('Sorted Data'!$Q:$Q,'Sorted Data'!$C:$C,$A54,'Sorted Data'!$E:$E,$B54,'Sorted Data'!$G:$G,$C54,'Sorted Data'!$T:$T,"Other / Review")</f>
        <v>0</v>
      </c>
      <c r="L54" s="2">
        <f>F54+G54+H54</f>
        <v>238350</v>
      </c>
      <c r="M54" s="5">
        <f>IFERROR(F54/L54,0)</f>
        <v>1</v>
      </c>
      <c r="N54" s="2">
        <f>IFERROR(E54/D54,0)</f>
        <v>79450</v>
      </c>
    </row>
    <row r="55" spans="1:14">
      <c r="A55" t="s">
        <v>8</v>
      </c>
      <c r="B55" t="s">
        <v>32</v>
      </c>
      <c r="C55" t="s">
        <v>28</v>
      </c>
      <c r="D55">
        <f>COUNTIFS('Sorted Data'!$C:$C,$A55,'Sorted Data'!$E:$E,$B55,'Sorted Data'!$G:$G,$C55)</f>
        <v>1</v>
      </c>
      <c r="E55" s="2">
        <f>SUMIFS('Sorted Data'!$Q:$Q,'Sorted Data'!$C:$C,$A55,'Sorted Data'!$E:$E,$B55,'Sorted Data'!$G:$G,$C55)</f>
        <v>237113.11679999999</v>
      </c>
      <c r="F55" s="2">
        <f>SUMIFS('Sorted Data'!$Q:$Q,'Sorted Data'!$C:$C,$A55,'Sorted Data'!$E:$E,$B55,'Sorted Data'!$G:$G,$C55,'Sorted Data'!$T:$T,"Payment Received")</f>
        <v>237113.11679999999</v>
      </c>
      <c r="G55" s="2">
        <f>SUMIFS('Sorted Data'!$Q:$Q,'Sorted Data'!$C:$C,$A55,'Sorted Data'!$E:$E,$B55,'Sorted Data'!$G:$G,$C55,'Sorted Data'!$T:$T,"PP")</f>
        <v>0</v>
      </c>
      <c r="H55" s="2">
        <f>SUMIFS('Sorted Data'!$Q:$Q,'Sorted Data'!$C:$C,$A55,'Sorted Data'!$E:$E,$B55,'Sorted Data'!$G:$G,$C55,'Sorted Data'!$T:$T,"IP")</f>
        <v>0</v>
      </c>
      <c r="I55" s="2">
        <f>SUMIFS('Sorted Data'!$Q:$Q,'Sorted Data'!$C:$C,$A55,'Sorted Data'!$E:$E,$B55,'Sorted Data'!$G:$G,$C55,'Sorted Data'!$T:$T,"Backout")</f>
        <v>0</v>
      </c>
      <c r="J55" s="2">
        <f>SUMIFS('Sorted Data'!$Q:$Q,'Sorted Data'!$C:$C,$A55,'Sorted Data'!$E:$E,$B55,'Sorted Data'!$G:$G,$C55,'Sorted Data'!$T:$T,"Credit Note")</f>
        <v>0</v>
      </c>
      <c r="K55" s="2">
        <f>SUMIFS('Sorted Data'!$Q:$Q,'Sorted Data'!$C:$C,$A55,'Sorted Data'!$E:$E,$B55,'Sorted Data'!$G:$G,$C55,'Sorted Data'!$T:$T,"Other / Review")</f>
        <v>0</v>
      </c>
      <c r="L55" s="2">
        <f>F55+G55+H55</f>
        <v>237113.11679999999</v>
      </c>
      <c r="M55" s="5">
        <f>IFERROR(F55/L55,0)</f>
        <v>1</v>
      </c>
      <c r="N55" s="2">
        <f>IFERROR(E55/D55,0)</f>
        <v>237113.11679999999</v>
      </c>
    </row>
    <row r="56" spans="1:14">
      <c r="A56" t="s">
        <v>8</v>
      </c>
      <c r="B56" t="s">
        <v>28</v>
      </c>
      <c r="C56" t="s">
        <v>35</v>
      </c>
      <c r="D56">
        <f>COUNTIFS('Sorted Data'!$C:$C,$A56,'Sorted Data'!$E:$E,$B56,'Sorted Data'!$G:$G,$C56)</f>
        <v>4</v>
      </c>
      <c r="E56" s="2">
        <f>SUMIFS('Sorted Data'!$Q:$Q,'Sorted Data'!$C:$C,$A56,'Sorted Data'!$E:$E,$B56,'Sorted Data'!$G:$G,$C56)</f>
        <v>236437.22</v>
      </c>
      <c r="F56" s="2">
        <f>SUMIFS('Sorted Data'!$Q:$Q,'Sorted Data'!$C:$C,$A56,'Sorted Data'!$E:$E,$B56,'Sorted Data'!$G:$G,$C56,'Sorted Data'!$T:$T,"Payment Received")</f>
        <v>0</v>
      </c>
      <c r="G56" s="2">
        <f>SUMIFS('Sorted Data'!$Q:$Q,'Sorted Data'!$C:$C,$A56,'Sorted Data'!$E:$E,$B56,'Sorted Data'!$G:$G,$C56,'Sorted Data'!$T:$T,"PP")</f>
        <v>35000</v>
      </c>
      <c r="H56" s="2">
        <f>SUMIFS('Sorted Data'!$Q:$Q,'Sorted Data'!$C:$C,$A56,'Sorted Data'!$E:$E,$B56,'Sorted Data'!$G:$G,$C56,'Sorted Data'!$T:$T,"IP")</f>
        <v>201437.22</v>
      </c>
      <c r="I56" s="2">
        <f>SUMIFS('Sorted Data'!$Q:$Q,'Sorted Data'!$C:$C,$A56,'Sorted Data'!$E:$E,$B56,'Sorted Data'!$G:$G,$C56,'Sorted Data'!$T:$T,"Backout")</f>
        <v>0</v>
      </c>
      <c r="J56" s="2">
        <f>SUMIFS('Sorted Data'!$Q:$Q,'Sorted Data'!$C:$C,$A56,'Sorted Data'!$E:$E,$B56,'Sorted Data'!$G:$G,$C56,'Sorted Data'!$T:$T,"Credit Note")</f>
        <v>0</v>
      </c>
      <c r="K56" s="2">
        <f>SUMIFS('Sorted Data'!$Q:$Q,'Sorted Data'!$C:$C,$A56,'Sorted Data'!$E:$E,$B56,'Sorted Data'!$G:$G,$C56,'Sorted Data'!$T:$T,"Other / Review")</f>
        <v>0</v>
      </c>
      <c r="L56" s="2">
        <f>F56+G56+H56</f>
        <v>236437.22</v>
      </c>
      <c r="M56" s="5">
        <f>IFERROR(F56/L56,0)</f>
        <v>0</v>
      </c>
      <c r="N56" s="2">
        <f>IFERROR(E56/D56,0)</f>
        <v>59109.305</v>
      </c>
    </row>
    <row r="57" spans="1:14">
      <c r="A57" t="s">
        <v>8</v>
      </c>
      <c r="B57" t="s">
        <v>28</v>
      </c>
      <c r="C57" t="s">
        <v>36</v>
      </c>
      <c r="D57">
        <f>COUNTIFS('Sorted Data'!$C:$C,$A57,'Sorted Data'!$E:$E,$B57,'Sorted Data'!$G:$G,$C57)</f>
        <v>3</v>
      </c>
      <c r="E57" s="2">
        <f>SUMIFS('Sorted Data'!$Q:$Q,'Sorted Data'!$C:$C,$A57,'Sorted Data'!$E:$E,$B57,'Sorted Data'!$G:$G,$C57)</f>
        <v>210455</v>
      </c>
      <c r="F57" s="2">
        <f>SUMIFS('Sorted Data'!$Q:$Q,'Sorted Data'!$C:$C,$A57,'Sorted Data'!$E:$E,$B57,'Sorted Data'!$G:$G,$C57,'Sorted Data'!$T:$T,"Payment Received")</f>
        <v>0</v>
      </c>
      <c r="G57" s="2">
        <f>SUMIFS('Sorted Data'!$Q:$Q,'Sorted Data'!$C:$C,$A57,'Sorted Data'!$E:$E,$B57,'Sorted Data'!$G:$G,$C57,'Sorted Data'!$T:$T,"PP")</f>
        <v>136300</v>
      </c>
      <c r="H57" s="2">
        <f>SUMIFS('Sorted Data'!$Q:$Q,'Sorted Data'!$C:$C,$A57,'Sorted Data'!$E:$E,$B57,'Sorted Data'!$G:$G,$C57,'Sorted Data'!$T:$T,"IP")</f>
        <v>74155</v>
      </c>
      <c r="I57" s="2">
        <f>SUMIFS('Sorted Data'!$Q:$Q,'Sorted Data'!$C:$C,$A57,'Sorted Data'!$E:$E,$B57,'Sorted Data'!$G:$G,$C57,'Sorted Data'!$T:$T,"Backout")</f>
        <v>0</v>
      </c>
      <c r="J57" s="2">
        <f>SUMIFS('Sorted Data'!$Q:$Q,'Sorted Data'!$C:$C,$A57,'Sorted Data'!$E:$E,$B57,'Sorted Data'!$G:$G,$C57,'Sorted Data'!$T:$T,"Credit Note")</f>
        <v>0</v>
      </c>
      <c r="K57" s="2">
        <f>SUMIFS('Sorted Data'!$Q:$Q,'Sorted Data'!$C:$C,$A57,'Sorted Data'!$E:$E,$B57,'Sorted Data'!$G:$G,$C57,'Sorted Data'!$T:$T,"Other / Review")</f>
        <v>0</v>
      </c>
      <c r="L57" s="2">
        <f>F57+G57+H57</f>
        <v>210455</v>
      </c>
      <c r="M57" s="5">
        <f>IFERROR(F57/L57,0)</f>
        <v>0</v>
      </c>
      <c r="N57" s="2">
        <f>IFERROR(E57/D57,0)</f>
        <v>70151.666666666672</v>
      </c>
    </row>
    <row r="58" spans="1:14">
      <c r="A58" t="s">
        <v>10</v>
      </c>
      <c r="B58" t="s">
        <v>40</v>
      </c>
      <c r="C58" t="s">
        <v>46</v>
      </c>
      <c r="D58">
        <f>COUNTIFS('Sorted Data'!$C:$C,$A58,'Sorted Data'!$E:$E,$B58,'Sorted Data'!$G:$G,$C58)</f>
        <v>4</v>
      </c>
      <c r="E58" s="2">
        <f>SUMIFS('Sorted Data'!$Q:$Q,'Sorted Data'!$C:$C,$A58,'Sorted Data'!$E:$E,$B58,'Sorted Data'!$G:$G,$C58)</f>
        <v>178931.03</v>
      </c>
      <c r="F58" s="2">
        <f>SUMIFS('Sorted Data'!$Q:$Q,'Sorted Data'!$C:$C,$A58,'Sorted Data'!$E:$E,$B58,'Sorted Data'!$G:$G,$C58,'Sorted Data'!$T:$T,"Payment Received")</f>
        <v>128950.28</v>
      </c>
      <c r="G58" s="2">
        <f>SUMIFS('Sorted Data'!$Q:$Q,'Sorted Data'!$C:$C,$A58,'Sorted Data'!$E:$E,$B58,'Sorted Data'!$G:$G,$C58,'Sorted Data'!$T:$T,"PP")</f>
        <v>49980.75</v>
      </c>
      <c r="H58" s="2">
        <f>SUMIFS('Sorted Data'!$Q:$Q,'Sorted Data'!$C:$C,$A58,'Sorted Data'!$E:$E,$B58,'Sorted Data'!$G:$G,$C58,'Sorted Data'!$T:$T,"IP")</f>
        <v>0</v>
      </c>
      <c r="I58" s="2">
        <f>SUMIFS('Sorted Data'!$Q:$Q,'Sorted Data'!$C:$C,$A58,'Sorted Data'!$E:$E,$B58,'Sorted Data'!$G:$G,$C58,'Sorted Data'!$T:$T,"Backout")</f>
        <v>0</v>
      </c>
      <c r="J58" s="2">
        <f>SUMIFS('Sorted Data'!$Q:$Q,'Sorted Data'!$C:$C,$A58,'Sorted Data'!$E:$E,$B58,'Sorted Data'!$G:$G,$C58,'Sorted Data'!$T:$T,"Credit Note")</f>
        <v>0</v>
      </c>
      <c r="K58" s="2">
        <f>SUMIFS('Sorted Data'!$Q:$Q,'Sorted Data'!$C:$C,$A58,'Sorted Data'!$E:$E,$B58,'Sorted Data'!$G:$G,$C58,'Sorted Data'!$T:$T,"Other / Review")</f>
        <v>0</v>
      </c>
      <c r="L58" s="2">
        <f>F58+G58+H58</f>
        <v>178931.03</v>
      </c>
      <c r="M58" s="5">
        <f>IFERROR(F58/L58,0)</f>
        <v>0.7206703052008363</v>
      </c>
      <c r="N58" s="2">
        <f>IFERROR(E58/D58,0)</f>
        <v>44732.7575</v>
      </c>
    </row>
    <row r="59" spans="1:14">
      <c r="A59" t="s">
        <v>12</v>
      </c>
      <c r="B59" t="s">
        <v>75</v>
      </c>
      <c r="C59" t="s">
        <v>79</v>
      </c>
      <c r="D59">
        <f>COUNTIFS('Sorted Data'!$C:$C,$A59,'Sorted Data'!$E:$E,$B59,'Sorted Data'!$G:$G,$C59)</f>
        <v>1</v>
      </c>
      <c r="E59" s="2">
        <f>SUMIFS('Sorted Data'!$Q:$Q,'Sorted Data'!$C:$C,$A59,'Sorted Data'!$E:$E,$B59,'Sorted Data'!$G:$G,$C59)</f>
        <v>170000</v>
      </c>
      <c r="F59" s="2">
        <f>SUMIFS('Sorted Data'!$Q:$Q,'Sorted Data'!$C:$C,$A59,'Sorted Data'!$E:$E,$B59,'Sorted Data'!$G:$G,$C59,'Sorted Data'!$T:$T,"Payment Received")</f>
        <v>0</v>
      </c>
      <c r="G59" s="2">
        <f>SUMIFS('Sorted Data'!$Q:$Q,'Sorted Data'!$C:$C,$A59,'Sorted Data'!$E:$E,$B59,'Sorted Data'!$G:$G,$C59,'Sorted Data'!$T:$T,"PP")</f>
        <v>0</v>
      </c>
      <c r="H59" s="2">
        <f>SUMIFS('Sorted Data'!$Q:$Q,'Sorted Data'!$C:$C,$A59,'Sorted Data'!$E:$E,$B59,'Sorted Data'!$G:$G,$C59,'Sorted Data'!$T:$T,"IP")</f>
        <v>170000</v>
      </c>
      <c r="I59" s="2">
        <f>SUMIFS('Sorted Data'!$Q:$Q,'Sorted Data'!$C:$C,$A59,'Sorted Data'!$E:$E,$B59,'Sorted Data'!$G:$G,$C59,'Sorted Data'!$T:$T,"Backout")</f>
        <v>0</v>
      </c>
      <c r="J59" s="2">
        <f>SUMIFS('Sorted Data'!$Q:$Q,'Sorted Data'!$C:$C,$A59,'Sorted Data'!$E:$E,$B59,'Sorted Data'!$G:$G,$C59,'Sorted Data'!$T:$T,"Credit Note")</f>
        <v>0</v>
      </c>
      <c r="K59" s="2">
        <f>SUMIFS('Sorted Data'!$Q:$Q,'Sorted Data'!$C:$C,$A59,'Sorted Data'!$E:$E,$B59,'Sorted Data'!$G:$G,$C59,'Sorted Data'!$T:$T,"Other / Review")</f>
        <v>0</v>
      </c>
      <c r="L59" s="2">
        <f>F59+G59+H59</f>
        <v>170000</v>
      </c>
      <c r="M59" s="5">
        <f>IFERROR(F59/L59,0)</f>
        <v>0</v>
      </c>
      <c r="N59" s="2">
        <f>IFERROR(E59/D59,0)</f>
        <v>170000</v>
      </c>
    </row>
    <row r="60" spans="1:14">
      <c r="A60" t="s">
        <v>10</v>
      </c>
      <c r="B60" t="s">
        <v>40</v>
      </c>
      <c r="C60" t="s">
        <v>44</v>
      </c>
      <c r="D60">
        <f>COUNTIFS('Sorted Data'!$C:$C,$A60,'Sorted Data'!$E:$E,$B60,'Sorted Data'!$G:$G,$C60)</f>
        <v>4</v>
      </c>
      <c r="E60" s="2">
        <f>SUMIFS('Sorted Data'!$Q:$Q,'Sorted Data'!$C:$C,$A60,'Sorted Data'!$E:$E,$B60,'Sorted Data'!$G:$G,$C60)</f>
        <v>168694.15330000001</v>
      </c>
      <c r="F60" s="2">
        <f>SUMIFS('Sorted Data'!$Q:$Q,'Sorted Data'!$C:$C,$A60,'Sorted Data'!$E:$E,$B60,'Sorted Data'!$G:$G,$C60,'Sorted Data'!$T:$T,"Payment Received")</f>
        <v>168694.15330000001</v>
      </c>
      <c r="G60" s="2">
        <f>SUMIFS('Sorted Data'!$Q:$Q,'Sorted Data'!$C:$C,$A60,'Sorted Data'!$E:$E,$B60,'Sorted Data'!$G:$G,$C60,'Sorted Data'!$T:$T,"PP")</f>
        <v>0</v>
      </c>
      <c r="H60" s="2">
        <f>SUMIFS('Sorted Data'!$Q:$Q,'Sorted Data'!$C:$C,$A60,'Sorted Data'!$E:$E,$B60,'Sorted Data'!$G:$G,$C60,'Sorted Data'!$T:$T,"IP")</f>
        <v>0</v>
      </c>
      <c r="I60" s="2">
        <f>SUMIFS('Sorted Data'!$Q:$Q,'Sorted Data'!$C:$C,$A60,'Sorted Data'!$E:$E,$B60,'Sorted Data'!$G:$G,$C60,'Sorted Data'!$T:$T,"Backout")</f>
        <v>0</v>
      </c>
      <c r="J60" s="2">
        <f>SUMIFS('Sorted Data'!$Q:$Q,'Sorted Data'!$C:$C,$A60,'Sorted Data'!$E:$E,$B60,'Sorted Data'!$G:$G,$C60,'Sorted Data'!$T:$T,"Credit Note")</f>
        <v>0</v>
      </c>
      <c r="K60" s="2">
        <f>SUMIFS('Sorted Data'!$Q:$Q,'Sorted Data'!$C:$C,$A60,'Sorted Data'!$E:$E,$B60,'Sorted Data'!$G:$G,$C60,'Sorted Data'!$T:$T,"Other / Review")</f>
        <v>0</v>
      </c>
      <c r="L60" s="2">
        <f>F60+G60+H60</f>
        <v>168694.15330000001</v>
      </c>
      <c r="M60" s="5">
        <f>IFERROR(F60/L60,0)</f>
        <v>1</v>
      </c>
      <c r="N60" s="2">
        <f>IFERROR(E60/D60,0)</f>
        <v>42173.538325000001</v>
      </c>
    </row>
    <row r="61" spans="1:14">
      <c r="A61" t="s">
        <v>11</v>
      </c>
      <c r="B61" t="s">
        <v>56</v>
      </c>
      <c r="C61" t="s">
        <v>59</v>
      </c>
      <c r="D61">
        <f>COUNTIFS('Sorted Data'!$C:$C,$A61,'Sorted Data'!$E:$E,$B61,'Sorted Data'!$G:$G,$C61)</f>
        <v>2</v>
      </c>
      <c r="E61" s="2">
        <f>SUMIFS('Sorted Data'!$Q:$Q,'Sorted Data'!$C:$C,$A61,'Sorted Data'!$E:$E,$B61,'Sorted Data'!$G:$G,$C61)</f>
        <v>150500.14000000001</v>
      </c>
      <c r="F61" s="2">
        <f>SUMIFS('Sorted Data'!$Q:$Q,'Sorted Data'!$C:$C,$A61,'Sorted Data'!$E:$E,$B61,'Sorted Data'!$G:$G,$C61,'Sorted Data'!$T:$T,"Payment Received")</f>
        <v>150500.14000000001</v>
      </c>
      <c r="G61" s="2">
        <f>SUMIFS('Sorted Data'!$Q:$Q,'Sorted Data'!$C:$C,$A61,'Sorted Data'!$E:$E,$B61,'Sorted Data'!$G:$G,$C61,'Sorted Data'!$T:$T,"PP")</f>
        <v>0</v>
      </c>
      <c r="H61" s="2">
        <f>SUMIFS('Sorted Data'!$Q:$Q,'Sorted Data'!$C:$C,$A61,'Sorted Data'!$E:$E,$B61,'Sorted Data'!$G:$G,$C61,'Sorted Data'!$T:$T,"IP")</f>
        <v>0</v>
      </c>
      <c r="I61" s="2">
        <f>SUMIFS('Sorted Data'!$Q:$Q,'Sorted Data'!$C:$C,$A61,'Sorted Data'!$E:$E,$B61,'Sorted Data'!$G:$G,$C61,'Sorted Data'!$T:$T,"Backout")</f>
        <v>0</v>
      </c>
      <c r="J61" s="2">
        <f>SUMIFS('Sorted Data'!$Q:$Q,'Sorted Data'!$C:$C,$A61,'Sorted Data'!$E:$E,$B61,'Sorted Data'!$G:$G,$C61,'Sorted Data'!$T:$T,"Credit Note")</f>
        <v>0</v>
      </c>
      <c r="K61" s="2">
        <f>SUMIFS('Sorted Data'!$Q:$Q,'Sorted Data'!$C:$C,$A61,'Sorted Data'!$E:$E,$B61,'Sorted Data'!$G:$G,$C61,'Sorted Data'!$T:$T,"Other / Review")</f>
        <v>0</v>
      </c>
      <c r="L61" s="2">
        <f>F61+G61+H61</f>
        <v>150500.14000000001</v>
      </c>
      <c r="M61" s="5">
        <f>IFERROR(F61/L61,0)</f>
        <v>1</v>
      </c>
      <c r="N61" s="2">
        <f>IFERROR(E61/D61,0)</f>
        <v>75250.070000000007</v>
      </c>
    </row>
    <row r="62" spans="1:14">
      <c r="A62" t="s">
        <v>12</v>
      </c>
      <c r="B62" t="s">
        <v>75</v>
      </c>
      <c r="C62" t="s">
        <v>85</v>
      </c>
      <c r="D62">
        <f>COUNTIFS('Sorted Data'!$C:$C,$A62,'Sorted Data'!$E:$E,$B62,'Sorted Data'!$G:$G,$C62)</f>
        <v>1</v>
      </c>
      <c r="E62" s="2">
        <f>SUMIFS('Sorted Data'!$Q:$Q,'Sorted Data'!$C:$C,$A62,'Sorted Data'!$E:$E,$B62,'Sorted Data'!$G:$G,$C62)</f>
        <v>148025</v>
      </c>
      <c r="F62" s="2">
        <f>SUMIFS('Sorted Data'!$Q:$Q,'Sorted Data'!$C:$C,$A62,'Sorted Data'!$E:$E,$B62,'Sorted Data'!$G:$G,$C62,'Sorted Data'!$T:$T,"Payment Received")</f>
        <v>148025</v>
      </c>
      <c r="G62" s="2">
        <f>SUMIFS('Sorted Data'!$Q:$Q,'Sorted Data'!$C:$C,$A62,'Sorted Data'!$E:$E,$B62,'Sorted Data'!$G:$G,$C62,'Sorted Data'!$T:$T,"PP")</f>
        <v>0</v>
      </c>
      <c r="H62" s="2">
        <f>SUMIFS('Sorted Data'!$Q:$Q,'Sorted Data'!$C:$C,$A62,'Sorted Data'!$E:$E,$B62,'Sorted Data'!$G:$G,$C62,'Sorted Data'!$T:$T,"IP")</f>
        <v>0</v>
      </c>
      <c r="I62" s="2">
        <f>SUMIFS('Sorted Data'!$Q:$Q,'Sorted Data'!$C:$C,$A62,'Sorted Data'!$E:$E,$B62,'Sorted Data'!$G:$G,$C62,'Sorted Data'!$T:$T,"Backout")</f>
        <v>0</v>
      </c>
      <c r="J62" s="2">
        <f>SUMIFS('Sorted Data'!$Q:$Q,'Sorted Data'!$C:$C,$A62,'Sorted Data'!$E:$E,$B62,'Sorted Data'!$G:$G,$C62,'Sorted Data'!$T:$T,"Credit Note")</f>
        <v>0</v>
      </c>
      <c r="K62" s="2">
        <f>SUMIFS('Sorted Data'!$Q:$Q,'Sorted Data'!$C:$C,$A62,'Sorted Data'!$E:$E,$B62,'Sorted Data'!$G:$G,$C62,'Sorted Data'!$T:$T,"Other / Review")</f>
        <v>0</v>
      </c>
      <c r="L62" s="2">
        <f>F62+G62+H62</f>
        <v>148025</v>
      </c>
      <c r="M62" s="5">
        <f>IFERROR(F62/L62,0)</f>
        <v>1</v>
      </c>
      <c r="N62" s="2">
        <f>IFERROR(E62/D62,0)</f>
        <v>148025</v>
      </c>
    </row>
    <row r="63" spans="1:14">
      <c r="A63" t="s">
        <v>11</v>
      </c>
      <c r="B63" t="s">
        <v>56</v>
      </c>
      <c r="C63" t="s">
        <v>57</v>
      </c>
      <c r="D63">
        <f>COUNTIFS('Sorted Data'!$C:$C,$A63,'Sorted Data'!$E:$E,$B63,'Sorted Data'!$G:$G,$C63)</f>
        <v>1</v>
      </c>
      <c r="E63" s="2">
        <f>SUMIFS('Sorted Data'!$Q:$Q,'Sorted Data'!$C:$C,$A63,'Sorted Data'!$E:$E,$B63,'Sorted Data'!$G:$G,$C63)</f>
        <v>143500.56</v>
      </c>
      <c r="F63" s="2">
        <f>SUMIFS('Sorted Data'!$Q:$Q,'Sorted Data'!$C:$C,$A63,'Sorted Data'!$E:$E,$B63,'Sorted Data'!$G:$G,$C63,'Sorted Data'!$T:$T,"Payment Received")</f>
        <v>143500.56</v>
      </c>
      <c r="G63" s="2">
        <f>SUMIFS('Sorted Data'!$Q:$Q,'Sorted Data'!$C:$C,$A63,'Sorted Data'!$E:$E,$B63,'Sorted Data'!$G:$G,$C63,'Sorted Data'!$T:$T,"PP")</f>
        <v>0</v>
      </c>
      <c r="H63" s="2">
        <f>SUMIFS('Sorted Data'!$Q:$Q,'Sorted Data'!$C:$C,$A63,'Sorted Data'!$E:$E,$B63,'Sorted Data'!$G:$G,$C63,'Sorted Data'!$T:$T,"IP")</f>
        <v>0</v>
      </c>
      <c r="I63" s="2">
        <f>SUMIFS('Sorted Data'!$Q:$Q,'Sorted Data'!$C:$C,$A63,'Sorted Data'!$E:$E,$B63,'Sorted Data'!$G:$G,$C63,'Sorted Data'!$T:$T,"Backout")</f>
        <v>0</v>
      </c>
      <c r="J63" s="2">
        <f>SUMIFS('Sorted Data'!$Q:$Q,'Sorted Data'!$C:$C,$A63,'Sorted Data'!$E:$E,$B63,'Sorted Data'!$G:$G,$C63,'Sorted Data'!$T:$T,"Credit Note")</f>
        <v>0</v>
      </c>
      <c r="K63" s="2">
        <f>SUMIFS('Sorted Data'!$Q:$Q,'Sorted Data'!$C:$C,$A63,'Sorted Data'!$E:$E,$B63,'Sorted Data'!$G:$G,$C63,'Sorted Data'!$T:$T,"Other / Review")</f>
        <v>0</v>
      </c>
      <c r="L63" s="2">
        <f>F63+G63+H63</f>
        <v>143500.56</v>
      </c>
      <c r="M63" s="5">
        <f>IFERROR(F63/L63,0)</f>
        <v>1</v>
      </c>
      <c r="N63" s="2">
        <f>IFERROR(E63/D63,0)</f>
        <v>143500.56</v>
      </c>
    </row>
    <row r="64" spans="1:14">
      <c r="A64" t="s">
        <v>11</v>
      </c>
      <c r="B64" t="s">
        <v>56</v>
      </c>
      <c r="C64" t="s">
        <v>60</v>
      </c>
      <c r="D64">
        <f>COUNTIFS('Sorted Data'!$C:$C,$A64,'Sorted Data'!$E:$E,$B64,'Sorted Data'!$G:$G,$C64)</f>
        <v>1</v>
      </c>
      <c r="E64" s="2">
        <f>SUMIFS('Sorted Data'!$Q:$Q,'Sorted Data'!$C:$C,$A64,'Sorted Data'!$E:$E,$B64,'Sorted Data'!$G:$G,$C64)</f>
        <v>128594</v>
      </c>
      <c r="F64" s="2">
        <f>SUMIFS('Sorted Data'!$Q:$Q,'Sorted Data'!$C:$C,$A64,'Sorted Data'!$E:$E,$B64,'Sorted Data'!$G:$G,$C64,'Sorted Data'!$T:$T,"Payment Received")</f>
        <v>0</v>
      </c>
      <c r="G64" s="2">
        <f>SUMIFS('Sorted Data'!$Q:$Q,'Sorted Data'!$C:$C,$A64,'Sorted Data'!$E:$E,$B64,'Sorted Data'!$G:$G,$C64,'Sorted Data'!$T:$T,"PP")</f>
        <v>0</v>
      </c>
      <c r="H64" s="2">
        <f>SUMIFS('Sorted Data'!$Q:$Q,'Sorted Data'!$C:$C,$A64,'Sorted Data'!$E:$E,$B64,'Sorted Data'!$G:$G,$C64,'Sorted Data'!$T:$T,"IP")</f>
        <v>128594</v>
      </c>
      <c r="I64" s="2">
        <f>SUMIFS('Sorted Data'!$Q:$Q,'Sorted Data'!$C:$C,$A64,'Sorted Data'!$E:$E,$B64,'Sorted Data'!$G:$G,$C64,'Sorted Data'!$T:$T,"Backout")</f>
        <v>0</v>
      </c>
      <c r="J64" s="2">
        <f>SUMIFS('Sorted Data'!$Q:$Q,'Sorted Data'!$C:$C,$A64,'Sorted Data'!$E:$E,$B64,'Sorted Data'!$G:$G,$C64,'Sorted Data'!$T:$T,"Credit Note")</f>
        <v>0</v>
      </c>
      <c r="K64" s="2">
        <f>SUMIFS('Sorted Data'!$Q:$Q,'Sorted Data'!$C:$C,$A64,'Sorted Data'!$E:$E,$B64,'Sorted Data'!$G:$G,$C64,'Sorted Data'!$T:$T,"Other / Review")</f>
        <v>0</v>
      </c>
      <c r="L64" s="2">
        <f>F64+G64+H64</f>
        <v>128594</v>
      </c>
      <c r="M64" s="5">
        <f>IFERROR(F64/L64,0)</f>
        <v>0</v>
      </c>
      <c r="N64" s="2">
        <f>IFERROR(E64/D64,0)</f>
        <v>128594</v>
      </c>
    </row>
    <row r="65" spans="1:14">
      <c r="A65" t="s">
        <v>11</v>
      </c>
      <c r="B65" t="s">
        <v>69</v>
      </c>
      <c r="C65" t="s">
        <v>61</v>
      </c>
      <c r="D65">
        <f>COUNTIFS('Sorted Data'!$C:$C,$A65,'Sorted Data'!$E:$E,$B65,'Sorted Data'!$G:$G,$C65)</f>
        <v>2</v>
      </c>
      <c r="E65" s="2">
        <f>SUMIFS('Sorted Data'!$Q:$Q,'Sorted Data'!$C:$C,$A65,'Sorted Data'!$E:$E,$B65,'Sorted Data'!$G:$G,$C65)</f>
        <v>112455</v>
      </c>
      <c r="F65" s="2">
        <f>SUMIFS('Sorted Data'!$Q:$Q,'Sorted Data'!$C:$C,$A65,'Sorted Data'!$E:$E,$B65,'Sorted Data'!$G:$G,$C65,'Sorted Data'!$T:$T,"Payment Received")</f>
        <v>112455</v>
      </c>
      <c r="G65" s="2">
        <f>SUMIFS('Sorted Data'!$Q:$Q,'Sorted Data'!$C:$C,$A65,'Sorted Data'!$E:$E,$B65,'Sorted Data'!$G:$G,$C65,'Sorted Data'!$T:$T,"PP")</f>
        <v>0</v>
      </c>
      <c r="H65" s="2">
        <f>SUMIFS('Sorted Data'!$Q:$Q,'Sorted Data'!$C:$C,$A65,'Sorted Data'!$E:$E,$B65,'Sorted Data'!$G:$G,$C65,'Sorted Data'!$T:$T,"IP")</f>
        <v>0</v>
      </c>
      <c r="I65" s="2">
        <f>SUMIFS('Sorted Data'!$Q:$Q,'Sorted Data'!$C:$C,$A65,'Sorted Data'!$E:$E,$B65,'Sorted Data'!$G:$G,$C65,'Sorted Data'!$T:$T,"Backout")</f>
        <v>0</v>
      </c>
      <c r="J65" s="2">
        <f>SUMIFS('Sorted Data'!$Q:$Q,'Sorted Data'!$C:$C,$A65,'Sorted Data'!$E:$E,$B65,'Sorted Data'!$G:$G,$C65,'Sorted Data'!$T:$T,"Credit Note")</f>
        <v>0</v>
      </c>
      <c r="K65" s="2">
        <f>SUMIFS('Sorted Data'!$Q:$Q,'Sorted Data'!$C:$C,$A65,'Sorted Data'!$E:$E,$B65,'Sorted Data'!$G:$G,$C65,'Sorted Data'!$T:$T,"Other / Review")</f>
        <v>0</v>
      </c>
      <c r="L65" s="2">
        <f>F65+G65+H65</f>
        <v>112455</v>
      </c>
      <c r="M65" s="5">
        <f>IFERROR(F65/L65,0)</f>
        <v>1</v>
      </c>
      <c r="N65" s="2">
        <f>IFERROR(E65/D65,0)</f>
        <v>56227.5</v>
      </c>
    </row>
    <row r="66" spans="1:14">
      <c r="A66" t="s">
        <v>12</v>
      </c>
      <c r="B66" t="s">
        <v>75</v>
      </c>
      <c r="C66" t="s">
        <v>96</v>
      </c>
      <c r="D66">
        <f>COUNTIFS('Sorted Data'!$C:$C,$A66,'Sorted Data'!$E:$E,$B66,'Sorted Data'!$G:$G,$C66)</f>
        <v>1</v>
      </c>
      <c r="E66" s="2">
        <f>SUMIFS('Sorted Data'!$Q:$Q,'Sorted Data'!$C:$C,$A66,'Sorted Data'!$E:$E,$B66,'Sorted Data'!$G:$G,$C66)</f>
        <v>109252.03</v>
      </c>
      <c r="F66" s="2">
        <f>SUMIFS('Sorted Data'!$Q:$Q,'Sorted Data'!$C:$C,$A66,'Sorted Data'!$E:$E,$B66,'Sorted Data'!$G:$G,$C66,'Sorted Data'!$T:$T,"Payment Received")</f>
        <v>109252.03</v>
      </c>
      <c r="G66" s="2">
        <f>SUMIFS('Sorted Data'!$Q:$Q,'Sorted Data'!$C:$C,$A66,'Sorted Data'!$E:$E,$B66,'Sorted Data'!$G:$G,$C66,'Sorted Data'!$T:$T,"PP")</f>
        <v>0</v>
      </c>
      <c r="H66" s="2">
        <f>SUMIFS('Sorted Data'!$Q:$Q,'Sorted Data'!$C:$C,$A66,'Sorted Data'!$E:$E,$B66,'Sorted Data'!$G:$G,$C66,'Sorted Data'!$T:$T,"IP")</f>
        <v>0</v>
      </c>
      <c r="I66" s="2">
        <f>SUMIFS('Sorted Data'!$Q:$Q,'Sorted Data'!$C:$C,$A66,'Sorted Data'!$E:$E,$B66,'Sorted Data'!$G:$G,$C66,'Sorted Data'!$T:$T,"Backout")</f>
        <v>0</v>
      </c>
      <c r="J66" s="2">
        <f>SUMIFS('Sorted Data'!$Q:$Q,'Sorted Data'!$C:$C,$A66,'Sorted Data'!$E:$E,$B66,'Sorted Data'!$G:$G,$C66,'Sorted Data'!$T:$T,"Credit Note")</f>
        <v>0</v>
      </c>
      <c r="K66" s="2">
        <f>SUMIFS('Sorted Data'!$Q:$Q,'Sorted Data'!$C:$C,$A66,'Sorted Data'!$E:$E,$B66,'Sorted Data'!$G:$G,$C66,'Sorted Data'!$T:$T,"Other / Review")</f>
        <v>0</v>
      </c>
      <c r="L66" s="2">
        <f>F66+G66+H66</f>
        <v>109252.03</v>
      </c>
      <c r="M66" s="5">
        <f>IFERROR(F66/L66,0)</f>
        <v>1</v>
      </c>
      <c r="N66" s="2">
        <f>IFERROR(E66/D66,0)</f>
        <v>109252.03</v>
      </c>
    </row>
    <row r="67" spans="1:14">
      <c r="A67" t="s">
        <v>8</v>
      </c>
      <c r="B67" t="s">
        <v>36</v>
      </c>
      <c r="C67" t="s">
        <v>35</v>
      </c>
      <c r="D67">
        <f>COUNTIFS('Sorted Data'!$C:$C,$A67,'Sorted Data'!$E:$E,$B67,'Sorted Data'!$G:$G,$C67)</f>
        <v>1</v>
      </c>
      <c r="E67" s="2">
        <f>SUMIFS('Sorted Data'!$Q:$Q,'Sorted Data'!$C:$C,$A67,'Sorted Data'!$E:$E,$B67,'Sorted Data'!$G:$G,$C67)</f>
        <v>103888.42</v>
      </c>
      <c r="F67" s="2">
        <f>SUMIFS('Sorted Data'!$Q:$Q,'Sorted Data'!$C:$C,$A67,'Sorted Data'!$E:$E,$B67,'Sorted Data'!$G:$G,$C67,'Sorted Data'!$T:$T,"Payment Received")</f>
        <v>0</v>
      </c>
      <c r="G67" s="2">
        <f>SUMIFS('Sorted Data'!$Q:$Q,'Sorted Data'!$C:$C,$A67,'Sorted Data'!$E:$E,$B67,'Sorted Data'!$G:$G,$C67,'Sorted Data'!$T:$T,"PP")</f>
        <v>103888.42</v>
      </c>
      <c r="H67" s="2">
        <f>SUMIFS('Sorted Data'!$Q:$Q,'Sorted Data'!$C:$C,$A67,'Sorted Data'!$E:$E,$B67,'Sorted Data'!$G:$G,$C67,'Sorted Data'!$T:$T,"IP")</f>
        <v>0</v>
      </c>
      <c r="I67" s="2">
        <f>SUMIFS('Sorted Data'!$Q:$Q,'Sorted Data'!$C:$C,$A67,'Sorted Data'!$E:$E,$B67,'Sorted Data'!$G:$G,$C67,'Sorted Data'!$T:$T,"Backout")</f>
        <v>0</v>
      </c>
      <c r="J67" s="2">
        <f>SUMIFS('Sorted Data'!$Q:$Q,'Sorted Data'!$C:$C,$A67,'Sorted Data'!$E:$E,$B67,'Sorted Data'!$G:$G,$C67,'Sorted Data'!$T:$T,"Credit Note")</f>
        <v>0</v>
      </c>
      <c r="K67" s="2">
        <f>SUMIFS('Sorted Data'!$Q:$Q,'Sorted Data'!$C:$C,$A67,'Sorted Data'!$E:$E,$B67,'Sorted Data'!$G:$G,$C67,'Sorted Data'!$T:$T,"Other / Review")</f>
        <v>0</v>
      </c>
      <c r="L67" s="2">
        <f>F67+G67+H67</f>
        <v>103888.42</v>
      </c>
      <c r="M67" s="5">
        <f>IFERROR(F67/L67,0)</f>
        <v>0</v>
      </c>
      <c r="N67" s="2">
        <f>IFERROR(E67/D67,0)</f>
        <v>103888.42</v>
      </c>
    </row>
    <row r="68" spans="1:14">
      <c r="A68" t="s">
        <v>11</v>
      </c>
      <c r="B68" t="s">
        <v>63</v>
      </c>
      <c r="C68" t="s">
        <v>68</v>
      </c>
      <c r="D68">
        <f>COUNTIFS('Sorted Data'!$C:$C,$A68,'Sorted Data'!$E:$E,$B68,'Sorted Data'!$G:$G,$C68)</f>
        <v>1</v>
      </c>
      <c r="E68" s="2">
        <f>SUMIFS('Sorted Data'!$Q:$Q,'Sorted Data'!$C:$C,$A68,'Sorted Data'!$E:$E,$B68,'Sorted Data'!$G:$G,$C68)</f>
        <v>91000</v>
      </c>
      <c r="F68" s="2">
        <f>SUMIFS('Sorted Data'!$Q:$Q,'Sorted Data'!$C:$C,$A68,'Sorted Data'!$E:$E,$B68,'Sorted Data'!$G:$G,$C68,'Sorted Data'!$T:$T,"Payment Received")</f>
        <v>91000</v>
      </c>
      <c r="G68" s="2">
        <f>SUMIFS('Sorted Data'!$Q:$Q,'Sorted Data'!$C:$C,$A68,'Sorted Data'!$E:$E,$B68,'Sorted Data'!$G:$G,$C68,'Sorted Data'!$T:$T,"PP")</f>
        <v>0</v>
      </c>
      <c r="H68" s="2">
        <f>SUMIFS('Sorted Data'!$Q:$Q,'Sorted Data'!$C:$C,$A68,'Sorted Data'!$E:$E,$B68,'Sorted Data'!$G:$G,$C68,'Sorted Data'!$T:$T,"IP")</f>
        <v>0</v>
      </c>
      <c r="I68" s="2">
        <f>SUMIFS('Sorted Data'!$Q:$Q,'Sorted Data'!$C:$C,$A68,'Sorted Data'!$E:$E,$B68,'Sorted Data'!$G:$G,$C68,'Sorted Data'!$T:$T,"Backout")</f>
        <v>0</v>
      </c>
      <c r="J68" s="2">
        <f>SUMIFS('Sorted Data'!$Q:$Q,'Sorted Data'!$C:$C,$A68,'Sorted Data'!$E:$E,$B68,'Sorted Data'!$G:$G,$C68,'Sorted Data'!$T:$T,"Credit Note")</f>
        <v>0</v>
      </c>
      <c r="K68" s="2">
        <f>SUMIFS('Sorted Data'!$Q:$Q,'Sorted Data'!$C:$C,$A68,'Sorted Data'!$E:$E,$B68,'Sorted Data'!$G:$G,$C68,'Sorted Data'!$T:$T,"Other / Review")</f>
        <v>0</v>
      </c>
      <c r="L68" s="2">
        <f>F68+G68+H68</f>
        <v>91000</v>
      </c>
      <c r="M68" s="5">
        <f>IFERROR(F68/L68,0)</f>
        <v>1</v>
      </c>
      <c r="N68" s="2">
        <f>IFERROR(E68/D68,0)</f>
        <v>91000</v>
      </c>
    </row>
    <row r="69" spans="1:14">
      <c r="A69" t="s">
        <v>8</v>
      </c>
      <c r="B69" t="s">
        <v>32</v>
      </c>
      <c r="C69" t="s">
        <v>34</v>
      </c>
      <c r="D69">
        <f>COUNTIFS('Sorted Data'!$C:$C,$A69,'Sorted Data'!$E:$E,$B69,'Sorted Data'!$G:$G,$C69)</f>
        <v>1</v>
      </c>
      <c r="E69" s="2">
        <f>SUMIFS('Sorted Data'!$Q:$Q,'Sorted Data'!$C:$C,$A69,'Sorted Data'!$E:$E,$B69,'Sorted Data'!$G:$G,$C69)</f>
        <v>87298.4</v>
      </c>
      <c r="F69" s="2">
        <f>SUMIFS('Sorted Data'!$Q:$Q,'Sorted Data'!$C:$C,$A69,'Sorted Data'!$E:$E,$B69,'Sorted Data'!$G:$G,$C69,'Sorted Data'!$T:$T,"Payment Received")</f>
        <v>87298.4</v>
      </c>
      <c r="G69" s="2">
        <f>SUMIFS('Sorted Data'!$Q:$Q,'Sorted Data'!$C:$C,$A69,'Sorted Data'!$E:$E,$B69,'Sorted Data'!$G:$G,$C69,'Sorted Data'!$T:$T,"PP")</f>
        <v>0</v>
      </c>
      <c r="H69" s="2">
        <f>SUMIFS('Sorted Data'!$Q:$Q,'Sorted Data'!$C:$C,$A69,'Sorted Data'!$E:$E,$B69,'Sorted Data'!$G:$G,$C69,'Sorted Data'!$T:$T,"IP")</f>
        <v>0</v>
      </c>
      <c r="I69" s="2">
        <f>SUMIFS('Sorted Data'!$Q:$Q,'Sorted Data'!$C:$C,$A69,'Sorted Data'!$E:$E,$B69,'Sorted Data'!$G:$G,$C69,'Sorted Data'!$T:$T,"Backout")</f>
        <v>0</v>
      </c>
      <c r="J69" s="2">
        <f>SUMIFS('Sorted Data'!$Q:$Q,'Sorted Data'!$C:$C,$A69,'Sorted Data'!$E:$E,$B69,'Sorted Data'!$G:$G,$C69,'Sorted Data'!$T:$T,"Credit Note")</f>
        <v>0</v>
      </c>
      <c r="K69" s="2">
        <f>SUMIFS('Sorted Data'!$Q:$Q,'Sorted Data'!$C:$C,$A69,'Sorted Data'!$E:$E,$B69,'Sorted Data'!$G:$G,$C69,'Sorted Data'!$T:$T,"Other / Review")</f>
        <v>0</v>
      </c>
      <c r="L69" s="2">
        <f>F69+G69+H69</f>
        <v>87298.4</v>
      </c>
      <c r="M69" s="5">
        <f>IFERROR(F69/L69,0)</f>
        <v>1</v>
      </c>
      <c r="N69" s="2">
        <f>IFERROR(E69/D69,0)</f>
        <v>87298.4</v>
      </c>
    </row>
    <row r="70" spans="1:14">
      <c r="A70" t="s">
        <v>11</v>
      </c>
      <c r="B70" t="s">
        <v>70</v>
      </c>
      <c r="C70" t="s">
        <v>72</v>
      </c>
      <c r="D70">
        <f>COUNTIFS('Sorted Data'!$C:$C,$A70,'Sorted Data'!$E:$E,$B70,'Sorted Data'!$G:$G,$C70)</f>
        <v>1</v>
      </c>
      <c r="E70" s="2">
        <f>SUMIFS('Sorted Data'!$Q:$Q,'Sorted Data'!$C:$C,$A70,'Sorted Data'!$E:$E,$B70,'Sorted Data'!$G:$G,$C70)</f>
        <v>79135.333199999994</v>
      </c>
      <c r="F70" s="2">
        <f>SUMIFS('Sorted Data'!$Q:$Q,'Sorted Data'!$C:$C,$A70,'Sorted Data'!$E:$E,$B70,'Sorted Data'!$G:$G,$C70,'Sorted Data'!$T:$T,"Payment Received")</f>
        <v>79135.333199999994</v>
      </c>
      <c r="G70" s="2">
        <f>SUMIFS('Sorted Data'!$Q:$Q,'Sorted Data'!$C:$C,$A70,'Sorted Data'!$E:$E,$B70,'Sorted Data'!$G:$G,$C70,'Sorted Data'!$T:$T,"PP")</f>
        <v>0</v>
      </c>
      <c r="H70" s="2">
        <f>SUMIFS('Sorted Data'!$Q:$Q,'Sorted Data'!$C:$C,$A70,'Sorted Data'!$E:$E,$B70,'Sorted Data'!$G:$G,$C70,'Sorted Data'!$T:$T,"IP")</f>
        <v>0</v>
      </c>
      <c r="I70" s="2">
        <f>SUMIFS('Sorted Data'!$Q:$Q,'Sorted Data'!$C:$C,$A70,'Sorted Data'!$E:$E,$B70,'Sorted Data'!$G:$G,$C70,'Sorted Data'!$T:$T,"Backout")</f>
        <v>0</v>
      </c>
      <c r="J70" s="2">
        <f>SUMIFS('Sorted Data'!$Q:$Q,'Sorted Data'!$C:$C,$A70,'Sorted Data'!$E:$E,$B70,'Sorted Data'!$G:$G,$C70,'Sorted Data'!$T:$T,"Credit Note")</f>
        <v>0</v>
      </c>
      <c r="K70" s="2">
        <f>SUMIFS('Sorted Data'!$Q:$Q,'Sorted Data'!$C:$C,$A70,'Sorted Data'!$E:$E,$B70,'Sorted Data'!$G:$G,$C70,'Sorted Data'!$T:$T,"Other / Review")</f>
        <v>0</v>
      </c>
      <c r="L70" s="2">
        <f>F70+G70+H70</f>
        <v>79135.333199999994</v>
      </c>
      <c r="M70" s="5">
        <f>IFERROR(F70/L70,0)</f>
        <v>1</v>
      </c>
      <c r="N70" s="2">
        <f>IFERROR(E70/D70,0)</f>
        <v>79135.333199999994</v>
      </c>
    </row>
    <row r="71" spans="1:14">
      <c r="A71" t="s">
        <v>8</v>
      </c>
      <c r="B71" t="s">
        <v>38</v>
      </c>
      <c r="C71" t="s">
        <v>34</v>
      </c>
      <c r="D71">
        <f>COUNTIFS('Sorted Data'!$C:$C,$A71,'Sorted Data'!$E:$E,$B71,'Sorted Data'!$G:$G,$C71)</f>
        <v>1</v>
      </c>
      <c r="E71" s="2">
        <f>SUMIFS('Sorted Data'!$Q:$Q,'Sorted Data'!$C:$C,$A71,'Sorted Data'!$E:$E,$B71,'Sorted Data'!$G:$G,$C71)</f>
        <v>79135</v>
      </c>
      <c r="F71" s="2">
        <f>SUMIFS('Sorted Data'!$Q:$Q,'Sorted Data'!$C:$C,$A71,'Sorted Data'!$E:$E,$B71,'Sorted Data'!$G:$G,$C71,'Sorted Data'!$T:$T,"Payment Received")</f>
        <v>79135</v>
      </c>
      <c r="G71" s="2">
        <f>SUMIFS('Sorted Data'!$Q:$Q,'Sorted Data'!$C:$C,$A71,'Sorted Data'!$E:$E,$B71,'Sorted Data'!$G:$G,$C71,'Sorted Data'!$T:$T,"PP")</f>
        <v>0</v>
      </c>
      <c r="H71" s="2">
        <f>SUMIFS('Sorted Data'!$Q:$Q,'Sorted Data'!$C:$C,$A71,'Sorted Data'!$E:$E,$B71,'Sorted Data'!$G:$G,$C71,'Sorted Data'!$T:$T,"IP")</f>
        <v>0</v>
      </c>
      <c r="I71" s="2">
        <f>SUMIFS('Sorted Data'!$Q:$Q,'Sorted Data'!$C:$C,$A71,'Sorted Data'!$E:$E,$B71,'Sorted Data'!$G:$G,$C71,'Sorted Data'!$T:$T,"Backout")</f>
        <v>0</v>
      </c>
      <c r="J71" s="2">
        <f>SUMIFS('Sorted Data'!$Q:$Q,'Sorted Data'!$C:$C,$A71,'Sorted Data'!$E:$E,$B71,'Sorted Data'!$G:$G,$C71,'Sorted Data'!$T:$T,"Credit Note")</f>
        <v>0</v>
      </c>
      <c r="K71" s="2">
        <f>SUMIFS('Sorted Data'!$Q:$Q,'Sorted Data'!$C:$C,$A71,'Sorted Data'!$E:$E,$B71,'Sorted Data'!$G:$G,$C71,'Sorted Data'!$T:$T,"Other / Review")</f>
        <v>0</v>
      </c>
      <c r="L71" s="2">
        <f>F71+G71+H71</f>
        <v>79135</v>
      </c>
      <c r="M71" s="5">
        <f>IFERROR(F71/L71,0)</f>
        <v>1</v>
      </c>
      <c r="N71" s="2">
        <f>IFERROR(E71/D71,0)</f>
        <v>79135</v>
      </c>
    </row>
    <row r="72" spans="1:14">
      <c r="A72" t="s">
        <v>11</v>
      </c>
      <c r="B72" t="s">
        <v>56</v>
      </c>
      <c r="C72" t="s">
        <v>62</v>
      </c>
      <c r="D72">
        <f>COUNTIFS('Sorted Data'!$C:$C,$A72,'Sorted Data'!$E:$E,$B72,'Sorted Data'!$G:$G,$C72)</f>
        <v>1</v>
      </c>
      <c r="E72" s="2">
        <f>SUMIFS('Sorted Data'!$Q:$Q,'Sorted Data'!$C:$C,$A72,'Sorted Data'!$E:$E,$B72,'Sorted Data'!$G:$G,$C72)</f>
        <v>75000</v>
      </c>
      <c r="F72" s="2">
        <f>SUMIFS('Sorted Data'!$Q:$Q,'Sorted Data'!$C:$C,$A72,'Sorted Data'!$E:$E,$B72,'Sorted Data'!$G:$G,$C72,'Sorted Data'!$T:$T,"Payment Received")</f>
        <v>75000</v>
      </c>
      <c r="G72" s="2">
        <f>SUMIFS('Sorted Data'!$Q:$Q,'Sorted Data'!$C:$C,$A72,'Sorted Data'!$E:$E,$B72,'Sorted Data'!$G:$G,$C72,'Sorted Data'!$T:$T,"PP")</f>
        <v>0</v>
      </c>
      <c r="H72" s="2">
        <f>SUMIFS('Sorted Data'!$Q:$Q,'Sorted Data'!$C:$C,$A72,'Sorted Data'!$E:$E,$B72,'Sorted Data'!$G:$G,$C72,'Sorted Data'!$T:$T,"IP")</f>
        <v>0</v>
      </c>
      <c r="I72" s="2">
        <f>SUMIFS('Sorted Data'!$Q:$Q,'Sorted Data'!$C:$C,$A72,'Sorted Data'!$E:$E,$B72,'Sorted Data'!$G:$G,$C72,'Sorted Data'!$T:$T,"Backout")</f>
        <v>0</v>
      </c>
      <c r="J72" s="2">
        <f>SUMIFS('Sorted Data'!$Q:$Q,'Sorted Data'!$C:$C,$A72,'Sorted Data'!$E:$E,$B72,'Sorted Data'!$G:$G,$C72,'Sorted Data'!$T:$T,"Credit Note")</f>
        <v>0</v>
      </c>
      <c r="K72" s="2">
        <f>SUMIFS('Sorted Data'!$Q:$Q,'Sorted Data'!$C:$C,$A72,'Sorted Data'!$E:$E,$B72,'Sorted Data'!$G:$G,$C72,'Sorted Data'!$T:$T,"Other / Review")</f>
        <v>0</v>
      </c>
      <c r="L72" s="2">
        <f>F72+G72+H72</f>
        <v>75000</v>
      </c>
      <c r="M72" s="5">
        <f>IFERROR(F72/L72,0)</f>
        <v>1</v>
      </c>
      <c r="N72" s="2">
        <f>IFERROR(E72/D72,0)</f>
        <v>75000</v>
      </c>
    </row>
    <row r="73" spans="1:14">
      <c r="A73" t="s">
        <v>8</v>
      </c>
      <c r="B73" t="s">
        <v>35</v>
      </c>
      <c r="C73" t="s">
        <v>33</v>
      </c>
      <c r="D73">
        <f>COUNTIFS('Sorted Data'!$C:$C,$A73,'Sorted Data'!$E:$E,$B73,'Sorted Data'!$G:$G,$C73)</f>
        <v>1</v>
      </c>
      <c r="E73" s="2">
        <f>SUMIFS('Sorted Data'!$Q:$Q,'Sorted Data'!$C:$C,$A73,'Sorted Data'!$E:$E,$B73,'Sorted Data'!$G:$G,$C73)</f>
        <v>74970</v>
      </c>
      <c r="F73" s="2">
        <f>SUMIFS('Sorted Data'!$Q:$Q,'Sorted Data'!$C:$C,$A73,'Sorted Data'!$E:$E,$B73,'Sorted Data'!$G:$G,$C73,'Sorted Data'!$T:$T,"Payment Received")</f>
        <v>74970</v>
      </c>
      <c r="G73" s="2">
        <f>SUMIFS('Sorted Data'!$Q:$Q,'Sorted Data'!$C:$C,$A73,'Sorted Data'!$E:$E,$B73,'Sorted Data'!$G:$G,$C73,'Sorted Data'!$T:$T,"PP")</f>
        <v>0</v>
      </c>
      <c r="H73" s="2">
        <f>SUMIFS('Sorted Data'!$Q:$Q,'Sorted Data'!$C:$C,$A73,'Sorted Data'!$E:$E,$B73,'Sorted Data'!$G:$G,$C73,'Sorted Data'!$T:$T,"IP")</f>
        <v>0</v>
      </c>
      <c r="I73" s="2">
        <f>SUMIFS('Sorted Data'!$Q:$Q,'Sorted Data'!$C:$C,$A73,'Sorted Data'!$E:$E,$B73,'Sorted Data'!$G:$G,$C73,'Sorted Data'!$T:$T,"Backout")</f>
        <v>0</v>
      </c>
      <c r="J73" s="2">
        <f>SUMIFS('Sorted Data'!$Q:$Q,'Sorted Data'!$C:$C,$A73,'Sorted Data'!$E:$E,$B73,'Sorted Data'!$G:$G,$C73,'Sorted Data'!$T:$T,"Credit Note")</f>
        <v>0</v>
      </c>
      <c r="K73" s="2">
        <f>SUMIFS('Sorted Data'!$Q:$Q,'Sorted Data'!$C:$C,$A73,'Sorted Data'!$E:$E,$B73,'Sorted Data'!$G:$G,$C73,'Sorted Data'!$T:$T,"Other / Review")</f>
        <v>0</v>
      </c>
      <c r="L73" s="2">
        <f>F73+G73+H73</f>
        <v>74970</v>
      </c>
      <c r="M73" s="5">
        <f>IFERROR(F73/L73,0)</f>
        <v>1</v>
      </c>
      <c r="N73" s="2">
        <f>IFERROR(E73/D73,0)</f>
        <v>74970</v>
      </c>
    </row>
    <row r="74" spans="1:14">
      <c r="A74" t="s">
        <v>8</v>
      </c>
      <c r="B74" t="s">
        <v>39</v>
      </c>
      <c r="C74" t="s">
        <v>35</v>
      </c>
      <c r="D74">
        <f>COUNTIFS('Sorted Data'!$C:$C,$A74,'Sorted Data'!$E:$E,$B74,'Sorted Data'!$G:$G,$C74)</f>
        <v>1</v>
      </c>
      <c r="E74" s="2">
        <f>SUMIFS('Sorted Data'!$Q:$Q,'Sorted Data'!$C:$C,$A74,'Sorted Data'!$E:$E,$B74,'Sorted Data'!$G:$G,$C74)</f>
        <v>73970.399999999994</v>
      </c>
      <c r="F74" s="2">
        <f>SUMIFS('Sorted Data'!$Q:$Q,'Sorted Data'!$C:$C,$A74,'Sorted Data'!$E:$E,$B74,'Sorted Data'!$G:$G,$C74,'Sorted Data'!$T:$T,"Payment Received")</f>
        <v>0</v>
      </c>
      <c r="G74" s="2">
        <f>SUMIFS('Sorted Data'!$Q:$Q,'Sorted Data'!$C:$C,$A74,'Sorted Data'!$E:$E,$B74,'Sorted Data'!$G:$G,$C74,'Sorted Data'!$T:$T,"PP")</f>
        <v>73970.399999999994</v>
      </c>
      <c r="H74" s="2">
        <f>SUMIFS('Sorted Data'!$Q:$Q,'Sorted Data'!$C:$C,$A74,'Sorted Data'!$E:$E,$B74,'Sorted Data'!$G:$G,$C74,'Sorted Data'!$T:$T,"IP")</f>
        <v>0</v>
      </c>
      <c r="I74" s="2">
        <f>SUMIFS('Sorted Data'!$Q:$Q,'Sorted Data'!$C:$C,$A74,'Sorted Data'!$E:$E,$B74,'Sorted Data'!$G:$G,$C74,'Sorted Data'!$T:$T,"Backout")</f>
        <v>0</v>
      </c>
      <c r="J74" s="2">
        <f>SUMIFS('Sorted Data'!$Q:$Q,'Sorted Data'!$C:$C,$A74,'Sorted Data'!$E:$E,$B74,'Sorted Data'!$G:$G,$C74,'Sorted Data'!$T:$T,"Credit Note")</f>
        <v>0</v>
      </c>
      <c r="K74" s="2">
        <f>SUMIFS('Sorted Data'!$Q:$Q,'Sorted Data'!$C:$C,$A74,'Sorted Data'!$E:$E,$B74,'Sorted Data'!$G:$G,$C74,'Sorted Data'!$T:$T,"Other / Review")</f>
        <v>0</v>
      </c>
      <c r="L74" s="2">
        <f>F74+G74+H74</f>
        <v>73970.399999999994</v>
      </c>
      <c r="M74" s="5">
        <f>IFERROR(F74/L74,0)</f>
        <v>0</v>
      </c>
      <c r="N74" s="2">
        <f>IFERROR(E74/D74,0)</f>
        <v>73970.399999999994</v>
      </c>
    </row>
    <row r="75" spans="1:14">
      <c r="A75" t="s">
        <v>11</v>
      </c>
      <c r="B75" t="s">
        <v>70</v>
      </c>
      <c r="C75" t="s">
        <v>74</v>
      </c>
      <c r="D75">
        <f>COUNTIFS('Sorted Data'!$C:$C,$A75,'Sorted Data'!$E:$E,$B75,'Sorted Data'!$G:$G,$C75)</f>
        <v>1</v>
      </c>
      <c r="E75" s="2">
        <f>SUMIFS('Sorted Data'!$Q:$Q,'Sorted Data'!$C:$C,$A75,'Sorted Data'!$E:$E,$B75,'Sorted Data'!$G:$G,$C75)</f>
        <v>71971.199999999997</v>
      </c>
      <c r="F75" s="2">
        <f>SUMIFS('Sorted Data'!$Q:$Q,'Sorted Data'!$C:$C,$A75,'Sorted Data'!$E:$E,$B75,'Sorted Data'!$G:$G,$C75,'Sorted Data'!$T:$T,"Payment Received")</f>
        <v>71971.199999999997</v>
      </c>
      <c r="G75" s="2">
        <f>SUMIFS('Sorted Data'!$Q:$Q,'Sorted Data'!$C:$C,$A75,'Sorted Data'!$E:$E,$B75,'Sorted Data'!$G:$G,$C75,'Sorted Data'!$T:$T,"PP")</f>
        <v>0</v>
      </c>
      <c r="H75" s="2">
        <f>SUMIFS('Sorted Data'!$Q:$Q,'Sorted Data'!$C:$C,$A75,'Sorted Data'!$E:$E,$B75,'Sorted Data'!$G:$G,$C75,'Sorted Data'!$T:$T,"IP")</f>
        <v>0</v>
      </c>
      <c r="I75" s="2">
        <f>SUMIFS('Sorted Data'!$Q:$Q,'Sorted Data'!$C:$C,$A75,'Sorted Data'!$E:$E,$B75,'Sorted Data'!$G:$G,$C75,'Sorted Data'!$T:$T,"Backout")</f>
        <v>0</v>
      </c>
      <c r="J75" s="2">
        <f>SUMIFS('Sorted Data'!$Q:$Q,'Sorted Data'!$C:$C,$A75,'Sorted Data'!$E:$E,$B75,'Sorted Data'!$G:$G,$C75,'Sorted Data'!$T:$T,"Credit Note")</f>
        <v>0</v>
      </c>
      <c r="K75" s="2">
        <f>SUMIFS('Sorted Data'!$Q:$Q,'Sorted Data'!$C:$C,$A75,'Sorted Data'!$E:$E,$B75,'Sorted Data'!$G:$G,$C75,'Sorted Data'!$T:$T,"Other / Review")</f>
        <v>0</v>
      </c>
      <c r="L75" s="2">
        <f>F75+G75+H75</f>
        <v>71971.199999999997</v>
      </c>
      <c r="M75" s="5">
        <f>IFERROR(F75/L75,0)</f>
        <v>1</v>
      </c>
      <c r="N75" s="2">
        <f>IFERROR(E75/D75,0)</f>
        <v>71971.199999999997</v>
      </c>
    </row>
    <row r="76" spans="1:14">
      <c r="A76" t="s">
        <v>8</v>
      </c>
      <c r="B76" t="s">
        <v>28</v>
      </c>
      <c r="C76" t="s">
        <v>31</v>
      </c>
      <c r="D76">
        <f>COUNTIFS('Sorted Data'!$C:$C,$A76,'Sorted Data'!$E:$E,$B76,'Sorted Data'!$G:$G,$C76)</f>
        <v>2</v>
      </c>
      <c r="E76" s="2">
        <f>SUMIFS('Sorted Data'!$Q:$Q,'Sorted Data'!$C:$C,$A76,'Sorted Data'!$E:$E,$B76,'Sorted Data'!$G:$G,$C76)</f>
        <v>70805</v>
      </c>
      <c r="F76" s="2">
        <f>SUMIFS('Sorted Data'!$Q:$Q,'Sorted Data'!$C:$C,$A76,'Sorted Data'!$E:$E,$B76,'Sorted Data'!$G:$G,$C76,'Sorted Data'!$T:$T,"Payment Received")</f>
        <v>0</v>
      </c>
      <c r="G76" s="2">
        <f>SUMIFS('Sorted Data'!$Q:$Q,'Sorted Data'!$C:$C,$A76,'Sorted Data'!$E:$E,$B76,'Sorted Data'!$G:$G,$C76,'Sorted Data'!$T:$T,"PP")</f>
        <v>0</v>
      </c>
      <c r="H76" s="2">
        <f>SUMIFS('Sorted Data'!$Q:$Q,'Sorted Data'!$C:$C,$A76,'Sorted Data'!$E:$E,$B76,'Sorted Data'!$G:$G,$C76,'Sorted Data'!$T:$T,"IP")</f>
        <v>70805</v>
      </c>
      <c r="I76" s="2">
        <f>SUMIFS('Sorted Data'!$Q:$Q,'Sorted Data'!$C:$C,$A76,'Sorted Data'!$E:$E,$B76,'Sorted Data'!$G:$G,$C76,'Sorted Data'!$T:$T,"Backout")</f>
        <v>0</v>
      </c>
      <c r="J76" s="2">
        <f>SUMIFS('Sorted Data'!$Q:$Q,'Sorted Data'!$C:$C,$A76,'Sorted Data'!$E:$E,$B76,'Sorted Data'!$G:$G,$C76,'Sorted Data'!$T:$T,"Credit Note")</f>
        <v>0</v>
      </c>
      <c r="K76" s="2">
        <f>SUMIFS('Sorted Data'!$Q:$Q,'Sorted Data'!$C:$C,$A76,'Sorted Data'!$E:$E,$B76,'Sorted Data'!$G:$G,$C76,'Sorted Data'!$T:$T,"Other / Review")</f>
        <v>0</v>
      </c>
      <c r="L76" s="2">
        <f>F76+G76+H76</f>
        <v>70805</v>
      </c>
      <c r="M76" s="5">
        <f>IFERROR(F76/L76,0)</f>
        <v>0</v>
      </c>
      <c r="N76" s="2">
        <f>IFERROR(E76/D76,0)</f>
        <v>35402.5</v>
      </c>
    </row>
    <row r="77" spans="1:14">
      <c r="A77" t="s">
        <v>12</v>
      </c>
      <c r="B77" t="s">
        <v>75</v>
      </c>
      <c r="C77" t="s">
        <v>99</v>
      </c>
      <c r="D77">
        <f>COUNTIFS('Sorted Data'!$C:$C,$A77,'Sorted Data'!$E:$E,$B77,'Sorted Data'!$G:$G,$C77)</f>
        <v>1</v>
      </c>
      <c r="E77" s="2">
        <f>SUMIFS('Sorted Data'!$Q:$Q,'Sorted Data'!$C:$C,$A77,'Sorted Data'!$E:$E,$B77,'Sorted Data'!$G:$G,$C77)</f>
        <v>62000</v>
      </c>
      <c r="F77" s="2">
        <f>SUMIFS('Sorted Data'!$Q:$Q,'Sorted Data'!$C:$C,$A77,'Sorted Data'!$E:$E,$B77,'Sorted Data'!$G:$G,$C77,'Sorted Data'!$T:$T,"Payment Received")</f>
        <v>0</v>
      </c>
      <c r="G77" s="2">
        <f>SUMIFS('Sorted Data'!$Q:$Q,'Sorted Data'!$C:$C,$A77,'Sorted Data'!$E:$E,$B77,'Sorted Data'!$G:$G,$C77,'Sorted Data'!$T:$T,"PP")</f>
        <v>0</v>
      </c>
      <c r="H77" s="2">
        <f>SUMIFS('Sorted Data'!$Q:$Q,'Sorted Data'!$C:$C,$A77,'Sorted Data'!$E:$E,$B77,'Sorted Data'!$G:$G,$C77,'Sorted Data'!$T:$T,"IP")</f>
        <v>62000</v>
      </c>
      <c r="I77" s="2">
        <f>SUMIFS('Sorted Data'!$Q:$Q,'Sorted Data'!$C:$C,$A77,'Sorted Data'!$E:$E,$B77,'Sorted Data'!$G:$G,$C77,'Sorted Data'!$T:$T,"Backout")</f>
        <v>0</v>
      </c>
      <c r="J77" s="2">
        <f>SUMIFS('Sorted Data'!$Q:$Q,'Sorted Data'!$C:$C,$A77,'Sorted Data'!$E:$E,$B77,'Sorted Data'!$G:$G,$C77,'Sorted Data'!$T:$T,"Credit Note")</f>
        <v>0</v>
      </c>
      <c r="K77" s="2">
        <f>SUMIFS('Sorted Data'!$Q:$Q,'Sorted Data'!$C:$C,$A77,'Sorted Data'!$E:$E,$B77,'Sorted Data'!$G:$G,$C77,'Sorted Data'!$T:$T,"Other / Review")</f>
        <v>0</v>
      </c>
      <c r="L77" s="2">
        <f>F77+G77+H77</f>
        <v>62000</v>
      </c>
      <c r="M77" s="5">
        <f>IFERROR(F77/L77,0)</f>
        <v>0</v>
      </c>
      <c r="N77" s="2">
        <f>IFERROR(E77/D77,0)</f>
        <v>62000</v>
      </c>
    </row>
    <row r="78" spans="1:14">
      <c r="A78" t="s">
        <v>8</v>
      </c>
      <c r="B78" t="s">
        <v>33</v>
      </c>
      <c r="C78" t="s">
        <v>34</v>
      </c>
      <c r="D78">
        <f>COUNTIFS('Sorted Data'!$C:$C,$A78,'Sorted Data'!$E:$E,$B78,'Sorted Data'!$G:$G,$C78)</f>
        <v>1</v>
      </c>
      <c r="E78" s="2">
        <f>SUMIFS('Sorted Data'!$Q:$Q,'Sorted Data'!$C:$C,$A78,'Sorted Data'!$E:$E,$B78,'Sorted Data'!$G:$G,$C78)</f>
        <v>60000</v>
      </c>
      <c r="F78" s="2">
        <f>SUMIFS('Sorted Data'!$Q:$Q,'Sorted Data'!$C:$C,$A78,'Sorted Data'!$E:$E,$B78,'Sorted Data'!$G:$G,$C78,'Sorted Data'!$T:$T,"Payment Received")</f>
        <v>60000</v>
      </c>
      <c r="G78" s="2">
        <f>SUMIFS('Sorted Data'!$Q:$Q,'Sorted Data'!$C:$C,$A78,'Sorted Data'!$E:$E,$B78,'Sorted Data'!$G:$G,$C78,'Sorted Data'!$T:$T,"PP")</f>
        <v>0</v>
      </c>
      <c r="H78" s="2">
        <f>SUMIFS('Sorted Data'!$Q:$Q,'Sorted Data'!$C:$C,$A78,'Sorted Data'!$E:$E,$B78,'Sorted Data'!$G:$G,$C78,'Sorted Data'!$T:$T,"IP")</f>
        <v>0</v>
      </c>
      <c r="I78" s="2">
        <f>SUMIFS('Sorted Data'!$Q:$Q,'Sorted Data'!$C:$C,$A78,'Sorted Data'!$E:$E,$B78,'Sorted Data'!$G:$G,$C78,'Sorted Data'!$T:$T,"Backout")</f>
        <v>0</v>
      </c>
      <c r="J78" s="2">
        <f>SUMIFS('Sorted Data'!$Q:$Q,'Sorted Data'!$C:$C,$A78,'Sorted Data'!$E:$E,$B78,'Sorted Data'!$G:$G,$C78,'Sorted Data'!$T:$T,"Credit Note")</f>
        <v>0</v>
      </c>
      <c r="K78" s="2">
        <f>SUMIFS('Sorted Data'!$Q:$Q,'Sorted Data'!$C:$C,$A78,'Sorted Data'!$E:$E,$B78,'Sorted Data'!$G:$G,$C78,'Sorted Data'!$T:$T,"Other / Review")</f>
        <v>0</v>
      </c>
      <c r="L78" s="2">
        <f>F78+G78+H78</f>
        <v>60000</v>
      </c>
      <c r="M78" s="5">
        <f>IFERROR(F78/L78,0)</f>
        <v>1</v>
      </c>
      <c r="N78" s="2">
        <f>IFERROR(E78/D78,0)</f>
        <v>60000</v>
      </c>
    </row>
    <row r="79" spans="1:14">
      <c r="A79" t="s">
        <v>8</v>
      </c>
      <c r="B79" t="s">
        <v>35</v>
      </c>
      <c r="C79" t="s">
        <v>35</v>
      </c>
      <c r="D79">
        <f>COUNTIFS('Sorted Data'!$C:$C,$A79,'Sorted Data'!$E:$E,$B79,'Sorted Data'!$G:$G,$C79)</f>
        <v>1</v>
      </c>
      <c r="E79" s="2">
        <f>SUMIFS('Sorted Data'!$Q:$Q,'Sorted Data'!$C:$C,$A79,'Sorted Data'!$E:$E,$B79,'Sorted Data'!$G:$G,$C79)</f>
        <v>58310</v>
      </c>
      <c r="F79" s="2">
        <f>SUMIFS('Sorted Data'!$Q:$Q,'Sorted Data'!$C:$C,$A79,'Sorted Data'!$E:$E,$B79,'Sorted Data'!$G:$G,$C79,'Sorted Data'!$T:$T,"Payment Received")</f>
        <v>58310</v>
      </c>
      <c r="G79" s="2">
        <f>SUMIFS('Sorted Data'!$Q:$Q,'Sorted Data'!$C:$C,$A79,'Sorted Data'!$E:$E,$B79,'Sorted Data'!$G:$G,$C79,'Sorted Data'!$T:$T,"PP")</f>
        <v>0</v>
      </c>
      <c r="H79" s="2">
        <f>SUMIFS('Sorted Data'!$Q:$Q,'Sorted Data'!$C:$C,$A79,'Sorted Data'!$E:$E,$B79,'Sorted Data'!$G:$G,$C79,'Sorted Data'!$T:$T,"IP")</f>
        <v>0</v>
      </c>
      <c r="I79" s="2">
        <f>SUMIFS('Sorted Data'!$Q:$Q,'Sorted Data'!$C:$C,$A79,'Sorted Data'!$E:$E,$B79,'Sorted Data'!$G:$G,$C79,'Sorted Data'!$T:$T,"Backout")</f>
        <v>0</v>
      </c>
      <c r="J79" s="2">
        <f>SUMIFS('Sorted Data'!$Q:$Q,'Sorted Data'!$C:$C,$A79,'Sorted Data'!$E:$E,$B79,'Sorted Data'!$G:$G,$C79,'Sorted Data'!$T:$T,"Credit Note")</f>
        <v>0</v>
      </c>
      <c r="K79" s="2">
        <f>SUMIFS('Sorted Data'!$Q:$Q,'Sorted Data'!$C:$C,$A79,'Sorted Data'!$E:$E,$B79,'Sorted Data'!$G:$G,$C79,'Sorted Data'!$T:$T,"Other / Review")</f>
        <v>0</v>
      </c>
      <c r="L79" s="2">
        <f>F79+G79+H79</f>
        <v>58310</v>
      </c>
      <c r="M79" s="5">
        <f>IFERROR(F79/L79,0)</f>
        <v>1</v>
      </c>
      <c r="N79" s="2">
        <f>IFERROR(E79/D79,0)</f>
        <v>58310</v>
      </c>
    </row>
    <row r="80" spans="1:14">
      <c r="A80" t="s">
        <v>11</v>
      </c>
      <c r="B80" t="s">
        <v>56</v>
      </c>
      <c r="C80" t="s">
        <v>66</v>
      </c>
      <c r="D80">
        <f>COUNTIFS('Sorted Data'!$C:$C,$A80,'Sorted Data'!$E:$E,$B80,'Sorted Data'!$G:$G,$C80)</f>
        <v>1</v>
      </c>
      <c r="E80" s="2">
        <f>SUMIFS('Sorted Data'!$Q:$Q,'Sorted Data'!$C:$C,$A80,'Sorted Data'!$E:$E,$B80,'Sorted Data'!$G:$G,$C80)</f>
        <v>54145</v>
      </c>
      <c r="F80" s="2">
        <f>SUMIFS('Sorted Data'!$Q:$Q,'Sorted Data'!$C:$C,$A80,'Sorted Data'!$E:$E,$B80,'Sorted Data'!$G:$G,$C80,'Sorted Data'!$T:$T,"Payment Received")</f>
        <v>0</v>
      </c>
      <c r="G80" s="2">
        <f>SUMIFS('Sorted Data'!$Q:$Q,'Sorted Data'!$C:$C,$A80,'Sorted Data'!$E:$E,$B80,'Sorted Data'!$G:$G,$C80,'Sorted Data'!$T:$T,"PP")</f>
        <v>54145</v>
      </c>
      <c r="H80" s="2">
        <f>SUMIFS('Sorted Data'!$Q:$Q,'Sorted Data'!$C:$C,$A80,'Sorted Data'!$E:$E,$B80,'Sorted Data'!$G:$G,$C80,'Sorted Data'!$T:$T,"IP")</f>
        <v>0</v>
      </c>
      <c r="I80" s="2">
        <f>SUMIFS('Sorted Data'!$Q:$Q,'Sorted Data'!$C:$C,$A80,'Sorted Data'!$E:$E,$B80,'Sorted Data'!$G:$G,$C80,'Sorted Data'!$T:$T,"Backout")</f>
        <v>0</v>
      </c>
      <c r="J80" s="2">
        <f>SUMIFS('Sorted Data'!$Q:$Q,'Sorted Data'!$C:$C,$A80,'Sorted Data'!$E:$E,$B80,'Sorted Data'!$G:$G,$C80,'Sorted Data'!$T:$T,"Credit Note")</f>
        <v>0</v>
      </c>
      <c r="K80" s="2">
        <f>SUMIFS('Sorted Data'!$Q:$Q,'Sorted Data'!$C:$C,$A80,'Sorted Data'!$E:$E,$B80,'Sorted Data'!$G:$G,$C80,'Sorted Data'!$T:$T,"Other / Review")</f>
        <v>0</v>
      </c>
      <c r="L80" s="2">
        <f>F80+G80+H80</f>
        <v>54145</v>
      </c>
      <c r="M80" s="5">
        <f>IFERROR(F80/L80,0)</f>
        <v>0</v>
      </c>
      <c r="N80" s="2">
        <f>IFERROR(E80/D80,0)</f>
        <v>54145</v>
      </c>
    </row>
    <row r="81" spans="1:14">
      <c r="A81" t="s">
        <v>13</v>
      </c>
      <c r="B81" t="s">
        <v>100</v>
      </c>
      <c r="C81" t="s">
        <v>101</v>
      </c>
      <c r="D81">
        <f>COUNTIFS('Sorted Data'!$C:$C,$A81,'Sorted Data'!$E:$E,$B81,'Sorted Data'!$G:$G,$C81)</f>
        <v>1</v>
      </c>
      <c r="E81" s="2">
        <f>SUMIFS('Sorted Data'!$Q:$Q,'Sorted Data'!$C:$C,$A81,'Sorted Data'!$E:$E,$B81,'Sorted Data'!$G:$G,$C81)</f>
        <v>45815</v>
      </c>
      <c r="F81" s="2">
        <f>SUMIFS('Sorted Data'!$Q:$Q,'Sorted Data'!$C:$C,$A81,'Sorted Data'!$E:$E,$B81,'Sorted Data'!$G:$G,$C81,'Sorted Data'!$T:$T,"Payment Received")</f>
        <v>0</v>
      </c>
      <c r="G81" s="2">
        <f>SUMIFS('Sorted Data'!$Q:$Q,'Sorted Data'!$C:$C,$A81,'Sorted Data'!$E:$E,$B81,'Sorted Data'!$G:$G,$C81,'Sorted Data'!$T:$T,"PP")</f>
        <v>0</v>
      </c>
      <c r="H81" s="2">
        <f>SUMIFS('Sorted Data'!$Q:$Q,'Sorted Data'!$C:$C,$A81,'Sorted Data'!$E:$E,$B81,'Sorted Data'!$G:$G,$C81,'Sorted Data'!$T:$T,"IP")</f>
        <v>45815</v>
      </c>
      <c r="I81" s="2">
        <f>SUMIFS('Sorted Data'!$Q:$Q,'Sorted Data'!$C:$C,$A81,'Sorted Data'!$E:$E,$B81,'Sorted Data'!$G:$G,$C81,'Sorted Data'!$T:$T,"Backout")</f>
        <v>0</v>
      </c>
      <c r="J81" s="2">
        <f>SUMIFS('Sorted Data'!$Q:$Q,'Sorted Data'!$C:$C,$A81,'Sorted Data'!$E:$E,$B81,'Sorted Data'!$G:$G,$C81,'Sorted Data'!$T:$T,"Credit Note")</f>
        <v>0</v>
      </c>
      <c r="K81" s="2">
        <f>SUMIFS('Sorted Data'!$Q:$Q,'Sorted Data'!$C:$C,$A81,'Sorted Data'!$E:$E,$B81,'Sorted Data'!$G:$G,$C81,'Sorted Data'!$T:$T,"Other / Review")</f>
        <v>0</v>
      </c>
      <c r="L81" s="2">
        <f>F81+G81+H81</f>
        <v>45815</v>
      </c>
      <c r="M81" s="5">
        <f>IFERROR(F81/L81,0)</f>
        <v>0</v>
      </c>
      <c r="N81" s="2">
        <f>IFERROR(E81/D81,0)</f>
        <v>45815</v>
      </c>
    </row>
    <row r="82" spans="1:14">
      <c r="A82" t="s">
        <v>11</v>
      </c>
      <c r="B82" t="s">
        <v>56</v>
      </c>
      <c r="C82" t="s">
        <v>54</v>
      </c>
      <c r="D82">
        <f>COUNTIFS('Sorted Data'!$C:$C,$A82,'Sorted Data'!$E:$E,$B82,'Sorted Data'!$G:$G,$C82)</f>
        <v>1</v>
      </c>
      <c r="E82" s="2">
        <f>SUMIFS('Sorted Data'!$Q:$Q,'Sorted Data'!$C:$C,$A82,'Sorted Data'!$E:$E,$B82,'Sorted Data'!$G:$G,$C82)</f>
        <v>45500.28</v>
      </c>
      <c r="F82" s="2">
        <f>SUMIFS('Sorted Data'!$Q:$Q,'Sorted Data'!$C:$C,$A82,'Sorted Data'!$E:$E,$B82,'Sorted Data'!$G:$G,$C82,'Sorted Data'!$T:$T,"Payment Received")</f>
        <v>45500.28</v>
      </c>
      <c r="G82" s="2">
        <f>SUMIFS('Sorted Data'!$Q:$Q,'Sorted Data'!$C:$C,$A82,'Sorted Data'!$E:$E,$B82,'Sorted Data'!$G:$G,$C82,'Sorted Data'!$T:$T,"PP")</f>
        <v>0</v>
      </c>
      <c r="H82" s="2">
        <f>SUMIFS('Sorted Data'!$Q:$Q,'Sorted Data'!$C:$C,$A82,'Sorted Data'!$E:$E,$B82,'Sorted Data'!$G:$G,$C82,'Sorted Data'!$T:$T,"IP")</f>
        <v>0</v>
      </c>
      <c r="I82" s="2">
        <f>SUMIFS('Sorted Data'!$Q:$Q,'Sorted Data'!$C:$C,$A82,'Sorted Data'!$E:$E,$B82,'Sorted Data'!$G:$G,$C82,'Sorted Data'!$T:$T,"Backout")</f>
        <v>0</v>
      </c>
      <c r="J82" s="2">
        <f>SUMIFS('Sorted Data'!$Q:$Q,'Sorted Data'!$C:$C,$A82,'Sorted Data'!$E:$E,$B82,'Sorted Data'!$G:$G,$C82,'Sorted Data'!$T:$T,"Credit Note")</f>
        <v>0</v>
      </c>
      <c r="K82" s="2">
        <f>SUMIFS('Sorted Data'!$Q:$Q,'Sorted Data'!$C:$C,$A82,'Sorted Data'!$E:$E,$B82,'Sorted Data'!$G:$G,$C82,'Sorted Data'!$T:$T,"Other / Review")</f>
        <v>0</v>
      </c>
      <c r="L82" s="2">
        <f>F82+G82+H82</f>
        <v>45500.28</v>
      </c>
      <c r="M82" s="5">
        <f>IFERROR(F82/L82,0)</f>
        <v>1</v>
      </c>
      <c r="N82" s="2">
        <f>IFERROR(E82/D82,0)</f>
        <v>45500.28</v>
      </c>
    </row>
    <row r="83" spans="1:14">
      <c r="A83" t="s">
        <v>12</v>
      </c>
      <c r="B83" t="s">
        <v>75</v>
      </c>
      <c r="C83" t="s">
        <v>88</v>
      </c>
      <c r="D83">
        <f>COUNTIFS('Sorted Data'!$C:$C,$A83,'Sorted Data'!$E:$E,$B83,'Sorted Data'!$G:$G,$C83)</f>
        <v>2</v>
      </c>
      <c r="E83" s="2">
        <f>SUMIFS('Sorted Data'!$Q:$Q,'Sorted Data'!$C:$C,$A83,'Sorted Data'!$E:$E,$B83,'Sorted Data'!$G:$G,$C83)</f>
        <v>45131.94</v>
      </c>
      <c r="F83" s="2">
        <f>SUMIFS('Sorted Data'!$Q:$Q,'Sorted Data'!$C:$C,$A83,'Sorted Data'!$E:$E,$B83,'Sorted Data'!$G:$G,$C83,'Sorted Data'!$T:$T,"Payment Received")</f>
        <v>45131.94</v>
      </c>
      <c r="G83" s="2">
        <f>SUMIFS('Sorted Data'!$Q:$Q,'Sorted Data'!$C:$C,$A83,'Sorted Data'!$E:$E,$B83,'Sorted Data'!$G:$G,$C83,'Sorted Data'!$T:$T,"PP")</f>
        <v>0</v>
      </c>
      <c r="H83" s="2">
        <f>SUMIFS('Sorted Data'!$Q:$Q,'Sorted Data'!$C:$C,$A83,'Sorted Data'!$E:$E,$B83,'Sorted Data'!$G:$G,$C83,'Sorted Data'!$T:$T,"IP")</f>
        <v>0</v>
      </c>
      <c r="I83" s="2">
        <f>SUMIFS('Sorted Data'!$Q:$Q,'Sorted Data'!$C:$C,$A83,'Sorted Data'!$E:$E,$B83,'Sorted Data'!$G:$G,$C83,'Sorted Data'!$T:$T,"Backout")</f>
        <v>0</v>
      </c>
      <c r="J83" s="2">
        <f>SUMIFS('Sorted Data'!$Q:$Q,'Sorted Data'!$C:$C,$A83,'Sorted Data'!$E:$E,$B83,'Sorted Data'!$G:$G,$C83,'Sorted Data'!$T:$T,"Credit Note")</f>
        <v>0</v>
      </c>
      <c r="K83" s="2">
        <f>SUMIFS('Sorted Data'!$Q:$Q,'Sorted Data'!$C:$C,$A83,'Sorted Data'!$E:$E,$B83,'Sorted Data'!$G:$G,$C83,'Sorted Data'!$T:$T,"Other / Review")</f>
        <v>0</v>
      </c>
      <c r="L83" s="2">
        <f>F83+G83+H83</f>
        <v>45131.94</v>
      </c>
      <c r="M83" s="5">
        <f>IFERROR(F83/L83,0)</f>
        <v>1</v>
      </c>
      <c r="N83" s="2">
        <f>IFERROR(E83/D83,0)</f>
        <v>22565.97</v>
      </c>
    </row>
    <row r="84" spans="1:14">
      <c r="A84" t="s">
        <v>11</v>
      </c>
      <c r="B84" t="s">
        <v>56</v>
      </c>
      <c r="C84" t="s">
        <v>71</v>
      </c>
      <c r="D84">
        <f>COUNTIFS('Sorted Data'!$C:$C,$A84,'Sorted Data'!$E:$E,$B84,'Sorted Data'!$G:$G,$C84)</f>
        <v>1</v>
      </c>
      <c r="E84" s="2">
        <f>SUMIFS('Sorted Data'!$Q:$Q,'Sorted Data'!$C:$C,$A84,'Sorted Data'!$E:$E,$B84,'Sorted Data'!$G:$G,$C84)</f>
        <v>44773.75</v>
      </c>
      <c r="F84" s="2">
        <f>SUMIFS('Sorted Data'!$Q:$Q,'Sorted Data'!$C:$C,$A84,'Sorted Data'!$E:$E,$B84,'Sorted Data'!$G:$G,$C84,'Sorted Data'!$T:$T,"Payment Received")</f>
        <v>44773.75</v>
      </c>
      <c r="G84" s="2">
        <f>SUMIFS('Sorted Data'!$Q:$Q,'Sorted Data'!$C:$C,$A84,'Sorted Data'!$E:$E,$B84,'Sorted Data'!$G:$G,$C84,'Sorted Data'!$T:$T,"PP")</f>
        <v>0</v>
      </c>
      <c r="H84" s="2">
        <f>SUMIFS('Sorted Data'!$Q:$Q,'Sorted Data'!$C:$C,$A84,'Sorted Data'!$E:$E,$B84,'Sorted Data'!$G:$G,$C84,'Sorted Data'!$T:$T,"IP")</f>
        <v>0</v>
      </c>
      <c r="I84" s="2">
        <f>SUMIFS('Sorted Data'!$Q:$Q,'Sorted Data'!$C:$C,$A84,'Sorted Data'!$E:$E,$B84,'Sorted Data'!$G:$G,$C84,'Sorted Data'!$T:$T,"Backout")</f>
        <v>0</v>
      </c>
      <c r="J84" s="2">
        <f>SUMIFS('Sorted Data'!$Q:$Q,'Sorted Data'!$C:$C,$A84,'Sorted Data'!$E:$E,$B84,'Sorted Data'!$G:$G,$C84,'Sorted Data'!$T:$T,"Credit Note")</f>
        <v>0</v>
      </c>
      <c r="K84" s="2">
        <f>SUMIFS('Sorted Data'!$Q:$Q,'Sorted Data'!$C:$C,$A84,'Sorted Data'!$E:$E,$B84,'Sorted Data'!$G:$G,$C84,'Sorted Data'!$T:$T,"Other / Review")</f>
        <v>0</v>
      </c>
      <c r="L84" s="2">
        <f>F84+G84+H84</f>
        <v>44773.75</v>
      </c>
      <c r="M84" s="5">
        <f>IFERROR(F84/L84,0)</f>
        <v>1</v>
      </c>
      <c r="N84" s="2">
        <f>IFERROR(E84/D84,0)</f>
        <v>44773.75</v>
      </c>
    </row>
    <row r="85" spans="1:14">
      <c r="A85" t="s">
        <v>8</v>
      </c>
      <c r="B85" t="s">
        <v>37</v>
      </c>
      <c r="C85" t="s">
        <v>34</v>
      </c>
      <c r="D85">
        <f>COUNTIFS('Sorted Data'!$C:$C,$A85,'Sorted Data'!$E:$E,$B85,'Sorted Data'!$G:$G,$C85)</f>
        <v>1</v>
      </c>
      <c r="E85" s="2">
        <f>SUMIFS('Sorted Data'!$Q:$Q,'Sorted Data'!$C:$C,$A85,'Sorted Data'!$E:$E,$B85,'Sorted Data'!$G:$G,$C85)</f>
        <v>44300</v>
      </c>
      <c r="F85" s="2">
        <f>SUMIFS('Sorted Data'!$Q:$Q,'Sorted Data'!$C:$C,$A85,'Sorted Data'!$E:$E,$B85,'Sorted Data'!$G:$G,$C85,'Sorted Data'!$T:$T,"Payment Received")</f>
        <v>44300</v>
      </c>
      <c r="G85" s="2">
        <f>SUMIFS('Sorted Data'!$Q:$Q,'Sorted Data'!$C:$C,$A85,'Sorted Data'!$E:$E,$B85,'Sorted Data'!$G:$G,$C85,'Sorted Data'!$T:$T,"PP")</f>
        <v>0</v>
      </c>
      <c r="H85" s="2">
        <f>SUMIFS('Sorted Data'!$Q:$Q,'Sorted Data'!$C:$C,$A85,'Sorted Data'!$E:$E,$B85,'Sorted Data'!$G:$G,$C85,'Sorted Data'!$T:$T,"IP")</f>
        <v>0</v>
      </c>
      <c r="I85" s="2">
        <f>SUMIFS('Sorted Data'!$Q:$Q,'Sorted Data'!$C:$C,$A85,'Sorted Data'!$E:$E,$B85,'Sorted Data'!$G:$G,$C85,'Sorted Data'!$T:$T,"Backout")</f>
        <v>0</v>
      </c>
      <c r="J85" s="2">
        <f>SUMIFS('Sorted Data'!$Q:$Q,'Sorted Data'!$C:$C,$A85,'Sorted Data'!$E:$E,$B85,'Sorted Data'!$G:$G,$C85,'Sorted Data'!$T:$T,"Credit Note")</f>
        <v>0</v>
      </c>
      <c r="K85" s="2">
        <f>SUMIFS('Sorted Data'!$Q:$Q,'Sorted Data'!$C:$C,$A85,'Sorted Data'!$E:$E,$B85,'Sorted Data'!$G:$G,$C85,'Sorted Data'!$T:$T,"Other / Review")</f>
        <v>0</v>
      </c>
      <c r="L85" s="2">
        <f>F85+G85+H85</f>
        <v>44300</v>
      </c>
      <c r="M85" s="5">
        <f>IFERROR(F85/L85,0)</f>
        <v>1</v>
      </c>
      <c r="N85" s="2">
        <f>IFERROR(E85/D85,0)</f>
        <v>44300</v>
      </c>
    </row>
    <row r="86" spans="1:14">
      <c r="A86" t="s">
        <v>11</v>
      </c>
      <c r="B86" t="s">
        <v>70</v>
      </c>
      <c r="C86" t="s">
        <v>73</v>
      </c>
      <c r="D86">
        <f>COUNTIFS('Sorted Data'!$C:$C,$A86,'Sorted Data'!$E:$E,$B86,'Sorted Data'!$G:$G,$C86)</f>
        <v>1</v>
      </c>
      <c r="E86" s="2">
        <f>SUMIFS('Sorted Data'!$Q:$Q,'Sorted Data'!$C:$C,$A86,'Sorted Data'!$E:$E,$B86,'Sorted Data'!$G:$G,$C86)</f>
        <v>37485</v>
      </c>
      <c r="F86" s="2">
        <f>SUMIFS('Sorted Data'!$Q:$Q,'Sorted Data'!$C:$C,$A86,'Sorted Data'!$E:$E,$B86,'Sorted Data'!$G:$G,$C86,'Sorted Data'!$T:$T,"Payment Received")</f>
        <v>37485</v>
      </c>
      <c r="G86" s="2">
        <f>SUMIFS('Sorted Data'!$Q:$Q,'Sorted Data'!$C:$C,$A86,'Sorted Data'!$E:$E,$B86,'Sorted Data'!$G:$G,$C86,'Sorted Data'!$T:$T,"PP")</f>
        <v>0</v>
      </c>
      <c r="H86" s="2">
        <f>SUMIFS('Sorted Data'!$Q:$Q,'Sorted Data'!$C:$C,$A86,'Sorted Data'!$E:$E,$B86,'Sorted Data'!$G:$G,$C86,'Sorted Data'!$T:$T,"IP")</f>
        <v>0</v>
      </c>
      <c r="I86" s="2">
        <f>SUMIFS('Sorted Data'!$Q:$Q,'Sorted Data'!$C:$C,$A86,'Sorted Data'!$E:$E,$B86,'Sorted Data'!$G:$G,$C86,'Sorted Data'!$T:$T,"Backout")</f>
        <v>0</v>
      </c>
      <c r="J86" s="2">
        <f>SUMIFS('Sorted Data'!$Q:$Q,'Sorted Data'!$C:$C,$A86,'Sorted Data'!$E:$E,$B86,'Sorted Data'!$G:$G,$C86,'Sorted Data'!$T:$T,"Credit Note")</f>
        <v>0</v>
      </c>
      <c r="K86" s="2">
        <f>SUMIFS('Sorted Data'!$Q:$Q,'Sorted Data'!$C:$C,$A86,'Sorted Data'!$E:$E,$B86,'Sorted Data'!$G:$G,$C86,'Sorted Data'!$T:$T,"Other / Review")</f>
        <v>0</v>
      </c>
      <c r="L86" s="2">
        <f>F86+G86+H86</f>
        <v>37485</v>
      </c>
      <c r="M86" s="5">
        <f>IFERROR(F86/L86,0)</f>
        <v>1</v>
      </c>
      <c r="N86" s="2">
        <f>IFERROR(E86/D86,0)</f>
        <v>37485</v>
      </c>
    </row>
    <row r="87" spans="1:14">
      <c r="A87" t="s">
        <v>12</v>
      </c>
      <c r="B87" t="s">
        <v>75</v>
      </c>
      <c r="C87" t="s">
        <v>81</v>
      </c>
      <c r="D87">
        <f>COUNTIFS('Sorted Data'!$C:$C,$A87,'Sorted Data'!$E:$E,$B87,'Sorted Data'!$G:$G,$C87)</f>
        <v>1</v>
      </c>
      <c r="E87" s="2">
        <f>SUMIFS('Sorted Data'!$Q:$Q,'Sorted Data'!$C:$C,$A87,'Sorted Data'!$E:$E,$B87,'Sorted Data'!$G:$G,$C87)</f>
        <v>34986</v>
      </c>
      <c r="F87" s="2">
        <f>SUMIFS('Sorted Data'!$Q:$Q,'Sorted Data'!$C:$C,$A87,'Sorted Data'!$E:$E,$B87,'Sorted Data'!$G:$G,$C87,'Sorted Data'!$T:$T,"Payment Received")</f>
        <v>34986</v>
      </c>
      <c r="G87" s="2">
        <f>SUMIFS('Sorted Data'!$Q:$Q,'Sorted Data'!$C:$C,$A87,'Sorted Data'!$E:$E,$B87,'Sorted Data'!$G:$G,$C87,'Sorted Data'!$T:$T,"PP")</f>
        <v>0</v>
      </c>
      <c r="H87" s="2">
        <f>SUMIFS('Sorted Data'!$Q:$Q,'Sorted Data'!$C:$C,$A87,'Sorted Data'!$E:$E,$B87,'Sorted Data'!$G:$G,$C87,'Sorted Data'!$T:$T,"IP")</f>
        <v>0</v>
      </c>
      <c r="I87" s="2">
        <f>SUMIFS('Sorted Data'!$Q:$Q,'Sorted Data'!$C:$C,$A87,'Sorted Data'!$E:$E,$B87,'Sorted Data'!$G:$G,$C87,'Sorted Data'!$T:$T,"Backout")</f>
        <v>0</v>
      </c>
      <c r="J87" s="2">
        <f>SUMIFS('Sorted Data'!$Q:$Q,'Sorted Data'!$C:$C,$A87,'Sorted Data'!$E:$E,$B87,'Sorted Data'!$G:$G,$C87,'Sorted Data'!$T:$T,"Credit Note")</f>
        <v>0</v>
      </c>
      <c r="K87" s="2">
        <f>SUMIFS('Sorted Data'!$Q:$Q,'Sorted Data'!$C:$C,$A87,'Sorted Data'!$E:$E,$B87,'Sorted Data'!$G:$G,$C87,'Sorted Data'!$T:$T,"Other / Review")</f>
        <v>0</v>
      </c>
      <c r="L87" s="2">
        <f>F87+G87+H87</f>
        <v>34986</v>
      </c>
      <c r="M87" s="5">
        <f>IFERROR(F87/L87,0)</f>
        <v>1</v>
      </c>
      <c r="N87" s="2">
        <f>IFERROR(E87/D87,0)</f>
        <v>34986</v>
      </c>
    </row>
    <row r="88" spans="1:14">
      <c r="A88" t="s">
        <v>8</v>
      </c>
      <c r="B88" t="s">
        <v>28</v>
      </c>
      <c r="C88" t="s">
        <v>29</v>
      </c>
      <c r="D88">
        <f>COUNTIFS('Sorted Data'!$C:$C,$A88,'Sorted Data'!$E:$E,$B88,'Sorted Data'!$G:$G,$C88)</f>
        <v>1</v>
      </c>
      <c r="E88" s="2">
        <f>SUMIFS('Sorted Data'!$Q:$Q,'Sorted Data'!$C:$C,$A88,'Sorted Data'!$E:$E,$B88,'Sorted Data'!$G:$G,$C88)</f>
        <v>23324</v>
      </c>
      <c r="F88" s="2">
        <f>SUMIFS('Sorted Data'!$Q:$Q,'Sorted Data'!$C:$C,$A88,'Sorted Data'!$E:$E,$B88,'Sorted Data'!$G:$G,$C88,'Sorted Data'!$T:$T,"Payment Received")</f>
        <v>0</v>
      </c>
      <c r="G88" s="2">
        <f>SUMIFS('Sorted Data'!$Q:$Q,'Sorted Data'!$C:$C,$A88,'Sorted Data'!$E:$E,$B88,'Sorted Data'!$G:$G,$C88,'Sorted Data'!$T:$T,"PP")</f>
        <v>0</v>
      </c>
      <c r="H88" s="2">
        <f>SUMIFS('Sorted Data'!$Q:$Q,'Sorted Data'!$C:$C,$A88,'Sorted Data'!$E:$E,$B88,'Sorted Data'!$G:$G,$C88,'Sorted Data'!$T:$T,"IP")</f>
        <v>23324</v>
      </c>
      <c r="I88" s="2">
        <f>SUMIFS('Sorted Data'!$Q:$Q,'Sorted Data'!$C:$C,$A88,'Sorted Data'!$E:$E,$B88,'Sorted Data'!$G:$G,$C88,'Sorted Data'!$T:$T,"Backout")</f>
        <v>0</v>
      </c>
      <c r="J88" s="2">
        <f>SUMIFS('Sorted Data'!$Q:$Q,'Sorted Data'!$C:$C,$A88,'Sorted Data'!$E:$E,$B88,'Sorted Data'!$G:$G,$C88,'Sorted Data'!$T:$T,"Credit Note")</f>
        <v>0</v>
      </c>
      <c r="K88" s="2">
        <f>SUMIFS('Sorted Data'!$Q:$Q,'Sorted Data'!$C:$C,$A88,'Sorted Data'!$E:$E,$B88,'Sorted Data'!$G:$G,$C88,'Sorted Data'!$T:$T,"Other / Review")</f>
        <v>0</v>
      </c>
      <c r="L88" s="2">
        <f>F88+G88+H88</f>
        <v>23324</v>
      </c>
      <c r="M88" s="5">
        <f>IFERROR(F88/L88,0)</f>
        <v>0</v>
      </c>
      <c r="N88" s="2">
        <f>IFERROR(E88/D88,0)</f>
        <v>23324</v>
      </c>
    </row>
    <row r="89" spans="1:14">
      <c r="A89" t="s">
        <v>12</v>
      </c>
      <c r="B89" t="s">
        <v>75</v>
      </c>
      <c r="C89" t="s">
        <v>89</v>
      </c>
      <c r="D89">
        <f>COUNTIFS('Sorted Data'!$C:$C,$A89,'Sorted Data'!$E:$E,$B89,'Sorted Data'!$G:$G,$C89)</f>
        <v>1</v>
      </c>
      <c r="E89" s="2">
        <f>SUMIFS('Sorted Data'!$Q:$Q,'Sorted Data'!$C:$C,$A89,'Sorted Data'!$E:$E,$B89,'Sorted Data'!$G:$G,$C89)</f>
        <v>0</v>
      </c>
      <c r="F89" s="2">
        <f>SUMIFS('Sorted Data'!$Q:$Q,'Sorted Data'!$C:$C,$A89,'Sorted Data'!$E:$E,$B89,'Sorted Data'!$G:$G,$C89,'Sorted Data'!$T:$T,"Payment Received")</f>
        <v>0</v>
      </c>
      <c r="G89" s="2">
        <f>SUMIFS('Sorted Data'!$Q:$Q,'Sorted Data'!$C:$C,$A89,'Sorted Data'!$E:$E,$B89,'Sorted Data'!$G:$G,$C89,'Sorted Data'!$T:$T,"PP")</f>
        <v>0</v>
      </c>
      <c r="H89" s="2">
        <f>SUMIFS('Sorted Data'!$Q:$Q,'Sorted Data'!$C:$C,$A89,'Sorted Data'!$E:$E,$B89,'Sorted Data'!$G:$G,$C89,'Sorted Data'!$T:$T,"IP")</f>
        <v>0</v>
      </c>
      <c r="I89" s="2">
        <f>SUMIFS('Sorted Data'!$Q:$Q,'Sorted Data'!$C:$C,$A89,'Sorted Data'!$E:$E,$B89,'Sorted Data'!$G:$G,$C89,'Sorted Data'!$T:$T,"Backout")</f>
        <v>0</v>
      </c>
      <c r="J89" s="2">
        <f>SUMIFS('Sorted Data'!$Q:$Q,'Sorted Data'!$C:$C,$A89,'Sorted Data'!$E:$E,$B89,'Sorted Data'!$G:$G,$C89,'Sorted Data'!$T:$T,"Credit Note")</f>
        <v>0</v>
      </c>
      <c r="K89" s="2">
        <f>SUMIFS('Sorted Data'!$Q:$Q,'Sorted Data'!$C:$C,$A89,'Sorted Data'!$E:$E,$B89,'Sorted Data'!$G:$G,$C89,'Sorted Data'!$T:$T,"Other / Review")</f>
        <v>0</v>
      </c>
      <c r="L89" s="2">
        <f>F89+G89+H89</f>
        <v>0</v>
      </c>
      <c r="M89" s="5">
        <f>IFERROR(F89/L89,0)</f>
        <v>0</v>
      </c>
      <c r="N89" s="2">
        <f>IFERROR(E89/D89,0)</f>
        <v>0</v>
      </c>
    </row>
  </sheetData>
  <conditionalFormatting sqref="M2:M89">
    <cfRule type="dataBar" priority="1">
      <dataBar>
        <cfvo type="min"/>
        <cfvo type="max"/>
        <color rgb="FF2F75B5"/>
      </dataBar>
    </cfRule>
    <cfRule type="dataBar" priority="2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{044B16BC-C018-3091-CE2B-689A55A3E630}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B16BC-C018-3091-CE2B-689A55A3E630}">
            <x14:dataBar>
              <x14:cfvo type="min"/>
              <x14:cfvo type="max"/>
              <x14:negativeFillColor auto="1"/>
              <x14:axisColor auto="1"/>
            </x14:dataBar>
          </x14:cfRule>
          <xm:sqref>M2:M89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28"/>
  <sheetViews>
    <sheetView workbookViewId="0"/>
  </sheetViews>
  <sheetFormatPr defaultRowHeight="13.8"/>
  <cols>
    <col min="1" max="1" width="8" customWidth="1"/>
    <col min="2" max="3" width="16" customWidth="1"/>
    <col min="4" max="5" width="20" customWidth="1"/>
    <col min="6" max="7" width="28" customWidth="1"/>
    <col min="8" max="9" width="22" customWidth="1"/>
    <col min="10" max="10" width="28" customWidth="1"/>
    <col min="11" max="11" width="15" customWidth="1"/>
    <col min="12" max="12" width="16" customWidth="1"/>
    <col min="13" max="13" width="13" customWidth="1"/>
    <col min="14" max="14" width="15" customWidth="1"/>
    <col min="15" max="16" width="18" customWidth="1"/>
    <col min="17" max="17" width="17" customWidth="1"/>
    <col min="18" max="18" width="14" customWidth="1"/>
    <col min="19" max="20" width="20" customWidth="1"/>
    <col min="21" max="21" width="42" customWidth="1"/>
  </cols>
  <sheetData>
    <row r="1" spans="1:21" ht="27.6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</row>
    <row r="2" spans="1:21">
      <c r="A2">
        <v>3538</v>
      </c>
      <c r="B2" t="s">
        <v>123</v>
      </c>
      <c r="C2" t="s">
        <v>8</v>
      </c>
      <c r="D2" t="s">
        <v>28</v>
      </c>
      <c r="E2" t="s">
        <v>28</v>
      </c>
      <c r="F2" t="s">
        <v>29</v>
      </c>
      <c r="G2" t="s">
        <v>29</v>
      </c>
      <c r="H2" t="s">
        <v>124</v>
      </c>
      <c r="I2" t="s">
        <v>125</v>
      </c>
      <c r="J2" s="3" t="s">
        <v>126</v>
      </c>
      <c r="K2" s="3"/>
      <c r="L2" s="3" t="s">
        <v>127</v>
      </c>
      <c r="M2" s="3" t="s">
        <v>128</v>
      </c>
      <c r="N2" s="4">
        <v>1120000</v>
      </c>
      <c r="O2" s="3" t="s">
        <v>129</v>
      </c>
      <c r="P2" s="3">
        <v>23324</v>
      </c>
      <c r="Q2" s="4">
        <v>23324</v>
      </c>
      <c r="R2" s="3"/>
      <c r="S2" s="3" t="s">
        <v>20</v>
      </c>
      <c r="T2" s="3" t="s">
        <v>20</v>
      </c>
      <c r="U2" s="3" t="s">
        <v>130</v>
      </c>
    </row>
    <row r="3" spans="1:21">
      <c r="A3">
        <v>3420</v>
      </c>
      <c r="B3" t="s">
        <v>131</v>
      </c>
      <c r="C3" t="s">
        <v>8</v>
      </c>
      <c r="D3" t="s">
        <v>28</v>
      </c>
      <c r="E3" t="s">
        <v>28</v>
      </c>
      <c r="F3" t="s">
        <v>30</v>
      </c>
      <c r="G3" t="s">
        <v>30</v>
      </c>
      <c r="H3" t="s">
        <v>132</v>
      </c>
      <c r="I3" t="s">
        <v>133</v>
      </c>
      <c r="J3" s="3" t="s">
        <v>134</v>
      </c>
      <c r="K3" s="3"/>
      <c r="L3" s="3" t="s">
        <v>131</v>
      </c>
      <c r="M3" s="3" t="s">
        <v>135</v>
      </c>
      <c r="N3" s="4" t="s">
        <v>136</v>
      </c>
      <c r="O3" s="3" t="s">
        <v>137</v>
      </c>
      <c r="P3" s="3" t="s">
        <v>138</v>
      </c>
      <c r="Q3" s="4">
        <v>314500.59999999998</v>
      </c>
      <c r="R3" s="3" t="s">
        <v>139</v>
      </c>
      <c r="S3" s="3" t="s">
        <v>19</v>
      </c>
      <c r="T3" s="3" t="s">
        <v>19</v>
      </c>
      <c r="U3" s="3" t="s">
        <v>140</v>
      </c>
    </row>
    <row r="4" spans="1:21">
      <c r="A4">
        <v>3012</v>
      </c>
      <c r="B4" t="s">
        <v>8</v>
      </c>
      <c r="C4" t="s">
        <v>8</v>
      </c>
      <c r="D4" t="s">
        <v>28</v>
      </c>
      <c r="E4" t="s">
        <v>28</v>
      </c>
      <c r="F4" t="s">
        <v>30</v>
      </c>
      <c r="G4" t="s">
        <v>30</v>
      </c>
      <c r="H4" t="s">
        <v>141</v>
      </c>
      <c r="I4" t="s">
        <v>142</v>
      </c>
      <c r="J4" s="3" t="s">
        <v>143</v>
      </c>
      <c r="K4" s="3"/>
      <c r="L4" s="3" t="s">
        <v>144</v>
      </c>
      <c r="M4" s="3" t="s">
        <v>145</v>
      </c>
      <c r="N4" s="4">
        <v>4402000</v>
      </c>
      <c r="O4" s="3" t="s">
        <v>146</v>
      </c>
      <c r="P4" s="3">
        <v>528240</v>
      </c>
      <c r="Q4" s="4">
        <v>528240</v>
      </c>
      <c r="R4" s="3" t="s">
        <v>147</v>
      </c>
      <c r="S4" s="3" t="s">
        <v>4</v>
      </c>
      <c r="T4" s="3" t="s">
        <v>4</v>
      </c>
      <c r="U4" s="3"/>
    </row>
    <row r="5" spans="1:21">
      <c r="A5">
        <v>3518</v>
      </c>
      <c r="B5" t="s">
        <v>8</v>
      </c>
      <c r="C5" t="s">
        <v>8</v>
      </c>
      <c r="D5" t="s">
        <v>28</v>
      </c>
      <c r="E5" t="s">
        <v>28</v>
      </c>
      <c r="F5" t="s">
        <v>31</v>
      </c>
      <c r="G5" t="s">
        <v>31</v>
      </c>
      <c r="H5" t="s">
        <v>124</v>
      </c>
      <c r="I5" t="s">
        <v>148</v>
      </c>
      <c r="J5" s="3" t="s">
        <v>149</v>
      </c>
      <c r="K5" s="3"/>
      <c r="L5" s="3" t="s">
        <v>127</v>
      </c>
      <c r="M5" s="3" t="s">
        <v>150</v>
      </c>
      <c r="N5" s="4" t="s">
        <v>151</v>
      </c>
      <c r="O5" s="3" t="s">
        <v>152</v>
      </c>
      <c r="P5" s="3">
        <v>33320</v>
      </c>
      <c r="Q5" s="4">
        <v>33320</v>
      </c>
      <c r="R5" s="3" t="s">
        <v>153</v>
      </c>
      <c r="S5" s="3" t="s">
        <v>20</v>
      </c>
      <c r="T5" s="3" t="s">
        <v>20</v>
      </c>
      <c r="U5" s="3"/>
    </row>
    <row r="6" spans="1:21">
      <c r="A6">
        <v>3517</v>
      </c>
      <c r="B6" t="s">
        <v>8</v>
      </c>
      <c r="C6" t="s">
        <v>8</v>
      </c>
      <c r="D6" t="s">
        <v>28</v>
      </c>
      <c r="E6" t="s">
        <v>28</v>
      </c>
      <c r="F6" t="s">
        <v>31</v>
      </c>
      <c r="G6" t="s">
        <v>31</v>
      </c>
      <c r="H6" t="s">
        <v>124</v>
      </c>
      <c r="I6" t="s">
        <v>154</v>
      </c>
      <c r="J6" s="3" t="s">
        <v>149</v>
      </c>
      <c r="K6" s="3"/>
      <c r="L6" s="3" t="s">
        <v>127</v>
      </c>
      <c r="M6" s="3" t="s">
        <v>150</v>
      </c>
      <c r="N6" s="4" t="s">
        <v>155</v>
      </c>
      <c r="O6" s="3" t="s">
        <v>152</v>
      </c>
      <c r="P6" s="3">
        <v>37485</v>
      </c>
      <c r="Q6" s="4">
        <v>37485</v>
      </c>
      <c r="R6" s="3" t="s">
        <v>153</v>
      </c>
      <c r="S6" s="3" t="s">
        <v>20</v>
      </c>
      <c r="T6" s="3" t="s">
        <v>20</v>
      </c>
      <c r="U6" s="3"/>
    </row>
    <row r="7" spans="1:21">
      <c r="A7">
        <v>3024</v>
      </c>
      <c r="B7" t="s">
        <v>8</v>
      </c>
      <c r="C7" t="s">
        <v>8</v>
      </c>
      <c r="D7" t="s">
        <v>28</v>
      </c>
      <c r="E7" t="s">
        <v>28</v>
      </c>
      <c r="F7" t="s">
        <v>32</v>
      </c>
      <c r="G7" t="s">
        <v>32</v>
      </c>
      <c r="H7" t="s">
        <v>156</v>
      </c>
      <c r="I7" t="s">
        <v>157</v>
      </c>
      <c r="J7" s="3" t="s">
        <v>158</v>
      </c>
      <c r="K7" s="3"/>
      <c r="L7" s="3" t="s">
        <v>159</v>
      </c>
      <c r="M7" s="3" t="s">
        <v>160</v>
      </c>
      <c r="N7" s="4">
        <v>516000</v>
      </c>
      <c r="O7" s="3" t="s">
        <v>161</v>
      </c>
      <c r="P7" s="3">
        <v>42982.8</v>
      </c>
      <c r="Q7" s="4">
        <v>42982.8</v>
      </c>
      <c r="R7" s="3" t="s">
        <v>162</v>
      </c>
      <c r="S7" s="3" t="s">
        <v>4</v>
      </c>
      <c r="T7" s="3" t="s">
        <v>4</v>
      </c>
      <c r="U7" s="3"/>
    </row>
    <row r="8" spans="1:21" ht="27.6">
      <c r="A8">
        <v>3519</v>
      </c>
      <c r="B8" t="s">
        <v>131</v>
      </c>
      <c r="C8" t="s">
        <v>8</v>
      </c>
      <c r="D8" t="s">
        <v>28</v>
      </c>
      <c r="E8" t="s">
        <v>28</v>
      </c>
      <c r="F8" t="s">
        <v>32</v>
      </c>
      <c r="G8" t="s">
        <v>32</v>
      </c>
      <c r="H8" t="s">
        <v>163</v>
      </c>
      <c r="I8" t="s">
        <v>164</v>
      </c>
      <c r="J8" s="3" t="s">
        <v>165</v>
      </c>
      <c r="K8" s="3"/>
      <c r="L8" s="3" t="s">
        <v>166</v>
      </c>
      <c r="M8" s="3" t="s">
        <v>150</v>
      </c>
      <c r="N8" s="4">
        <v>1400000</v>
      </c>
      <c r="O8" s="3" t="s">
        <v>129</v>
      </c>
      <c r="P8" s="3">
        <v>116620</v>
      </c>
      <c r="Q8" s="4">
        <v>116620</v>
      </c>
      <c r="R8" s="3"/>
      <c r="S8" s="3" t="s">
        <v>20</v>
      </c>
      <c r="T8" s="3" t="s">
        <v>20</v>
      </c>
      <c r="U8" s="3" t="s">
        <v>140</v>
      </c>
    </row>
    <row r="9" spans="1:21">
      <c r="A9">
        <v>3421</v>
      </c>
      <c r="B9" t="s">
        <v>131</v>
      </c>
      <c r="C9" t="s">
        <v>8</v>
      </c>
      <c r="D9" t="s">
        <v>28</v>
      </c>
      <c r="E9" t="s">
        <v>28</v>
      </c>
      <c r="F9" t="s">
        <v>32</v>
      </c>
      <c r="G9" t="s">
        <v>32</v>
      </c>
      <c r="H9" t="s">
        <v>124</v>
      </c>
      <c r="I9" t="s">
        <v>167</v>
      </c>
      <c r="J9" s="3" t="s">
        <v>168</v>
      </c>
      <c r="K9" s="3"/>
      <c r="L9" s="3" t="s">
        <v>127</v>
      </c>
      <c r="M9" s="3" t="s">
        <v>169</v>
      </c>
      <c r="N9" s="4">
        <v>750000</v>
      </c>
      <c r="O9" s="3" t="s">
        <v>170</v>
      </c>
      <c r="P9" s="3">
        <v>62475</v>
      </c>
      <c r="Q9" s="4">
        <v>62475</v>
      </c>
      <c r="R9" s="3" t="s">
        <v>171</v>
      </c>
      <c r="S9" s="3" t="s">
        <v>19</v>
      </c>
      <c r="T9" s="3" t="s">
        <v>19</v>
      </c>
      <c r="U9" s="3" t="s">
        <v>140</v>
      </c>
    </row>
    <row r="10" spans="1:21">
      <c r="A10">
        <v>3462</v>
      </c>
      <c r="B10" t="s">
        <v>8</v>
      </c>
      <c r="C10" t="s">
        <v>8</v>
      </c>
      <c r="D10" t="s">
        <v>28</v>
      </c>
      <c r="E10" t="s">
        <v>28</v>
      </c>
      <c r="F10" t="s">
        <v>32</v>
      </c>
      <c r="G10" t="s">
        <v>32</v>
      </c>
      <c r="H10" t="s">
        <v>124</v>
      </c>
      <c r="I10" t="s">
        <v>172</v>
      </c>
      <c r="J10" s="3" t="s">
        <v>173</v>
      </c>
      <c r="K10" s="3"/>
      <c r="L10" s="3" t="s">
        <v>127</v>
      </c>
      <c r="M10" s="3" t="s">
        <v>174</v>
      </c>
      <c r="N10" s="4" t="s">
        <v>175</v>
      </c>
      <c r="O10" s="3" t="s">
        <v>176</v>
      </c>
      <c r="P10" s="3" t="s">
        <v>177</v>
      </c>
      <c r="Q10" s="4">
        <v>133428.76999999999</v>
      </c>
      <c r="R10" s="3" t="s">
        <v>153</v>
      </c>
      <c r="S10" s="3" t="s">
        <v>20</v>
      </c>
      <c r="T10" s="3" t="s">
        <v>20</v>
      </c>
      <c r="U10" s="3"/>
    </row>
    <row r="11" spans="1:21">
      <c r="A11">
        <v>3205</v>
      </c>
      <c r="B11" t="s">
        <v>8</v>
      </c>
      <c r="C11" t="s">
        <v>8</v>
      </c>
      <c r="D11" t="s">
        <v>28</v>
      </c>
      <c r="E11" t="s">
        <v>28</v>
      </c>
      <c r="F11" t="s">
        <v>33</v>
      </c>
      <c r="G11" t="s">
        <v>33</v>
      </c>
      <c r="H11" t="s">
        <v>178</v>
      </c>
      <c r="I11" t="s">
        <v>179</v>
      </c>
      <c r="J11" s="3" t="s">
        <v>180</v>
      </c>
      <c r="K11" s="3"/>
      <c r="L11" s="3" t="s">
        <v>166</v>
      </c>
      <c r="M11" s="3" t="s">
        <v>181</v>
      </c>
      <c r="N11" s="4">
        <v>4500000</v>
      </c>
      <c r="O11" s="3" t="s">
        <v>182</v>
      </c>
      <c r="P11" s="3">
        <v>470285</v>
      </c>
      <c r="Q11" s="4">
        <v>470285</v>
      </c>
      <c r="R11" s="3" t="s">
        <v>183</v>
      </c>
      <c r="S11" s="3" t="s">
        <v>4</v>
      </c>
      <c r="T11" s="3" t="s">
        <v>4</v>
      </c>
      <c r="U11" s="3"/>
    </row>
    <row r="12" spans="1:21">
      <c r="A12">
        <v>3207</v>
      </c>
      <c r="B12" t="s">
        <v>8</v>
      </c>
      <c r="C12" t="s">
        <v>8</v>
      </c>
      <c r="D12" t="s">
        <v>28</v>
      </c>
      <c r="E12" t="s">
        <v>28</v>
      </c>
      <c r="F12" t="s">
        <v>33</v>
      </c>
      <c r="G12" t="s">
        <v>33</v>
      </c>
      <c r="H12" t="s">
        <v>141</v>
      </c>
      <c r="I12" t="s">
        <v>184</v>
      </c>
      <c r="J12" s="3" t="s">
        <v>185</v>
      </c>
      <c r="K12" s="3"/>
      <c r="L12" s="3" t="s">
        <v>12</v>
      </c>
      <c r="M12" s="3" t="s">
        <v>181</v>
      </c>
      <c r="N12" s="4">
        <v>2900000</v>
      </c>
      <c r="O12" s="3" t="s">
        <v>186</v>
      </c>
      <c r="P12" s="3">
        <v>290000</v>
      </c>
      <c r="Q12" s="4">
        <v>290000</v>
      </c>
      <c r="R12" s="3" t="s">
        <v>187</v>
      </c>
      <c r="S12" s="3" t="s">
        <v>4</v>
      </c>
      <c r="T12" s="3" t="s">
        <v>4</v>
      </c>
      <c r="U12" s="3"/>
    </row>
    <row r="13" spans="1:21">
      <c r="A13">
        <v>3430</v>
      </c>
      <c r="B13" t="s">
        <v>123</v>
      </c>
      <c r="C13" t="s">
        <v>8</v>
      </c>
      <c r="D13" t="s">
        <v>28</v>
      </c>
      <c r="E13" t="s">
        <v>28</v>
      </c>
      <c r="F13" t="s">
        <v>33</v>
      </c>
      <c r="G13" t="s">
        <v>33</v>
      </c>
      <c r="H13" t="s">
        <v>188</v>
      </c>
      <c r="I13" t="s">
        <v>189</v>
      </c>
      <c r="J13" s="3" t="s">
        <v>190</v>
      </c>
      <c r="K13" s="3"/>
      <c r="L13" s="3" t="s">
        <v>127</v>
      </c>
      <c r="M13" s="3" t="s">
        <v>169</v>
      </c>
      <c r="N13" s="4">
        <v>400000</v>
      </c>
      <c r="O13" s="3" t="s">
        <v>170</v>
      </c>
      <c r="P13" s="3">
        <v>33320</v>
      </c>
      <c r="Q13" s="4">
        <v>33320</v>
      </c>
      <c r="R13" s="3" t="s">
        <v>171</v>
      </c>
      <c r="S13" s="3" t="s">
        <v>19</v>
      </c>
      <c r="T13" s="3" t="s">
        <v>19</v>
      </c>
      <c r="U13" s="3" t="s">
        <v>130</v>
      </c>
    </row>
    <row r="14" spans="1:21">
      <c r="A14">
        <v>3502</v>
      </c>
      <c r="B14" t="s">
        <v>131</v>
      </c>
      <c r="C14" t="s">
        <v>8</v>
      </c>
      <c r="D14" t="s">
        <v>28</v>
      </c>
      <c r="E14" t="s">
        <v>28</v>
      </c>
      <c r="F14" t="s">
        <v>33</v>
      </c>
      <c r="G14" t="s">
        <v>33</v>
      </c>
      <c r="H14" t="s">
        <v>124</v>
      </c>
      <c r="I14" t="s">
        <v>191</v>
      </c>
      <c r="J14" s="3" t="s">
        <v>192</v>
      </c>
      <c r="K14" s="3"/>
      <c r="L14" s="3" t="s">
        <v>127</v>
      </c>
      <c r="M14" s="3" t="s">
        <v>193</v>
      </c>
      <c r="N14" s="4" t="s">
        <v>194</v>
      </c>
      <c r="O14" s="3" t="s">
        <v>176</v>
      </c>
      <c r="P14" s="3" t="s">
        <v>195</v>
      </c>
      <c r="Q14" s="4">
        <v>120673.46</v>
      </c>
      <c r="R14" s="3" t="s">
        <v>153</v>
      </c>
      <c r="S14" s="3" t="s">
        <v>20</v>
      </c>
      <c r="T14" s="3" t="s">
        <v>20</v>
      </c>
      <c r="U14" s="3" t="s">
        <v>140</v>
      </c>
    </row>
    <row r="15" spans="1:21">
      <c r="A15">
        <v>3501</v>
      </c>
      <c r="B15" t="s">
        <v>131</v>
      </c>
      <c r="C15" t="s">
        <v>8</v>
      </c>
      <c r="D15" t="s">
        <v>28</v>
      </c>
      <c r="E15" t="s">
        <v>28</v>
      </c>
      <c r="F15" t="s">
        <v>33</v>
      </c>
      <c r="G15" t="s">
        <v>33</v>
      </c>
      <c r="H15" t="s">
        <v>124</v>
      </c>
      <c r="I15" t="s">
        <v>196</v>
      </c>
      <c r="J15" s="3" t="s">
        <v>197</v>
      </c>
      <c r="K15" s="3"/>
      <c r="L15" s="3" t="s">
        <v>127</v>
      </c>
      <c r="M15" s="3" t="s">
        <v>193</v>
      </c>
      <c r="N15" s="4" t="s">
        <v>198</v>
      </c>
      <c r="O15" s="3" t="s">
        <v>176</v>
      </c>
      <c r="P15" s="3">
        <v>51322.87</v>
      </c>
      <c r="Q15" s="4">
        <v>51322.87</v>
      </c>
      <c r="R15" s="3" t="s">
        <v>153</v>
      </c>
      <c r="S15" s="3" t="s">
        <v>20</v>
      </c>
      <c r="T15" s="3" t="s">
        <v>20</v>
      </c>
      <c r="U15" s="3" t="s">
        <v>140</v>
      </c>
    </row>
    <row r="16" spans="1:21">
      <c r="A16">
        <v>3484</v>
      </c>
      <c r="B16" t="s">
        <v>123</v>
      </c>
      <c r="C16" t="s">
        <v>8</v>
      </c>
      <c r="D16" t="s">
        <v>28</v>
      </c>
      <c r="E16" t="s">
        <v>28</v>
      </c>
      <c r="F16" t="s">
        <v>33</v>
      </c>
      <c r="G16" t="s">
        <v>33</v>
      </c>
      <c r="H16" t="s">
        <v>124</v>
      </c>
      <c r="I16" t="s">
        <v>199</v>
      </c>
      <c r="J16" s="3" t="s">
        <v>126</v>
      </c>
      <c r="K16" s="3"/>
      <c r="L16" s="3" t="s">
        <v>127</v>
      </c>
      <c r="M16" s="3" t="s">
        <v>200</v>
      </c>
      <c r="N16" s="4" t="s">
        <v>201</v>
      </c>
      <c r="O16" s="3" t="s">
        <v>202</v>
      </c>
      <c r="P16" s="3" t="s">
        <v>203</v>
      </c>
      <c r="Q16" s="4">
        <v>133875.01</v>
      </c>
      <c r="R16" s="3" t="s">
        <v>153</v>
      </c>
      <c r="S16" s="3" t="s">
        <v>20</v>
      </c>
      <c r="T16" s="3" t="s">
        <v>20</v>
      </c>
      <c r="U16" s="3" t="s">
        <v>130</v>
      </c>
    </row>
    <row r="17" spans="1:21">
      <c r="A17">
        <v>3090</v>
      </c>
      <c r="B17" t="s">
        <v>8</v>
      </c>
      <c r="C17" t="s">
        <v>8</v>
      </c>
      <c r="D17" t="s">
        <v>28</v>
      </c>
      <c r="E17" t="s">
        <v>28</v>
      </c>
      <c r="F17" t="s">
        <v>33</v>
      </c>
      <c r="G17" t="s">
        <v>33</v>
      </c>
      <c r="H17" t="s">
        <v>204</v>
      </c>
      <c r="I17" t="s">
        <v>205</v>
      </c>
      <c r="J17" s="3" t="s">
        <v>206</v>
      </c>
      <c r="K17" s="3"/>
      <c r="L17" s="3" t="s">
        <v>207</v>
      </c>
      <c r="M17" s="3" t="s">
        <v>208</v>
      </c>
      <c r="N17" s="4">
        <v>3230898</v>
      </c>
      <c r="O17" s="3" t="s">
        <v>209</v>
      </c>
      <c r="P17" s="3">
        <v>269133.80339999998</v>
      </c>
      <c r="Q17" s="4">
        <v>269133.80339999998</v>
      </c>
      <c r="R17" s="3" t="s">
        <v>210</v>
      </c>
      <c r="S17" s="3" t="s">
        <v>4</v>
      </c>
      <c r="T17" s="3" t="s">
        <v>4</v>
      </c>
      <c r="U17" s="3"/>
    </row>
    <row r="18" spans="1:21" ht="27.6">
      <c r="A18">
        <v>3349</v>
      </c>
      <c r="B18" t="s">
        <v>131</v>
      </c>
      <c r="C18" t="s">
        <v>8</v>
      </c>
      <c r="D18" t="s">
        <v>28</v>
      </c>
      <c r="E18" t="s">
        <v>28</v>
      </c>
      <c r="F18" t="s">
        <v>211</v>
      </c>
      <c r="G18" t="s">
        <v>34</v>
      </c>
      <c r="H18" t="s">
        <v>132</v>
      </c>
      <c r="I18" t="s">
        <v>212</v>
      </c>
      <c r="J18" s="3" t="s">
        <v>213</v>
      </c>
      <c r="K18" s="3"/>
      <c r="L18" s="3" t="s">
        <v>144</v>
      </c>
      <c r="M18" s="3" t="s">
        <v>214</v>
      </c>
      <c r="N18" s="4">
        <v>2250000</v>
      </c>
      <c r="O18" s="3" t="s">
        <v>215</v>
      </c>
      <c r="P18" s="3">
        <v>187425</v>
      </c>
      <c r="Q18" s="4">
        <v>187425</v>
      </c>
      <c r="R18" s="3" t="s">
        <v>216</v>
      </c>
      <c r="S18" s="3" t="s">
        <v>4</v>
      </c>
      <c r="T18" s="3" t="s">
        <v>4</v>
      </c>
      <c r="U18" s="3" t="s">
        <v>217</v>
      </c>
    </row>
    <row r="19" spans="1:21">
      <c r="A19">
        <v>3434</v>
      </c>
      <c r="B19" t="s">
        <v>123</v>
      </c>
      <c r="C19" t="s">
        <v>8</v>
      </c>
      <c r="D19" t="s">
        <v>28</v>
      </c>
      <c r="E19" t="s">
        <v>28</v>
      </c>
      <c r="F19" t="s">
        <v>34</v>
      </c>
      <c r="G19" t="s">
        <v>34</v>
      </c>
      <c r="H19" t="s">
        <v>188</v>
      </c>
      <c r="I19" t="s">
        <v>218</v>
      </c>
      <c r="J19" s="3" t="s">
        <v>219</v>
      </c>
      <c r="K19" s="3"/>
      <c r="L19" s="3" t="s">
        <v>127</v>
      </c>
      <c r="M19" s="3" t="s">
        <v>220</v>
      </c>
      <c r="N19" s="4">
        <v>350000</v>
      </c>
      <c r="O19" s="3" t="s">
        <v>170</v>
      </c>
      <c r="P19" s="3">
        <v>35000</v>
      </c>
      <c r="Q19" s="4">
        <v>35000</v>
      </c>
      <c r="R19" s="3" t="s">
        <v>171</v>
      </c>
      <c r="S19" s="3" t="s">
        <v>19</v>
      </c>
      <c r="T19" s="3" t="s">
        <v>19</v>
      </c>
      <c r="U19" s="3" t="s">
        <v>130</v>
      </c>
    </row>
    <row r="20" spans="1:21">
      <c r="A20">
        <v>3485</v>
      </c>
      <c r="B20" t="s">
        <v>131</v>
      </c>
      <c r="C20" t="s">
        <v>8</v>
      </c>
      <c r="D20" t="s">
        <v>28</v>
      </c>
      <c r="E20" t="s">
        <v>28</v>
      </c>
      <c r="F20" t="s">
        <v>34</v>
      </c>
      <c r="G20" t="s">
        <v>34</v>
      </c>
      <c r="H20" t="s">
        <v>124</v>
      </c>
      <c r="I20" t="s">
        <v>221</v>
      </c>
      <c r="J20" s="3" t="s">
        <v>192</v>
      </c>
      <c r="K20" s="3"/>
      <c r="L20" s="3" t="s">
        <v>127</v>
      </c>
      <c r="M20" s="3" t="s">
        <v>200</v>
      </c>
      <c r="N20" s="4" t="s">
        <v>222</v>
      </c>
      <c r="O20" s="3" t="s">
        <v>202</v>
      </c>
      <c r="P20" s="3" t="s">
        <v>223</v>
      </c>
      <c r="Q20" s="4">
        <v>130602.48</v>
      </c>
      <c r="R20" s="3" t="s">
        <v>153</v>
      </c>
      <c r="S20" s="3" t="s">
        <v>20</v>
      </c>
      <c r="T20" s="3" t="s">
        <v>20</v>
      </c>
      <c r="U20" s="3" t="s">
        <v>140</v>
      </c>
    </row>
    <row r="21" spans="1:21">
      <c r="A21">
        <v>3486</v>
      </c>
      <c r="B21" t="s">
        <v>123</v>
      </c>
      <c r="C21" t="s">
        <v>8</v>
      </c>
      <c r="D21" t="s">
        <v>28</v>
      </c>
      <c r="E21" t="s">
        <v>28</v>
      </c>
      <c r="F21" t="s">
        <v>34</v>
      </c>
      <c r="G21" t="s">
        <v>34</v>
      </c>
      <c r="H21" t="s">
        <v>124</v>
      </c>
      <c r="I21" t="s">
        <v>224</v>
      </c>
      <c r="J21" s="3" t="s">
        <v>225</v>
      </c>
      <c r="K21" s="3"/>
      <c r="L21" s="3" t="s">
        <v>127</v>
      </c>
      <c r="M21" s="3" t="s">
        <v>200</v>
      </c>
      <c r="N21" s="4" t="s">
        <v>155</v>
      </c>
      <c r="O21" s="3" t="s">
        <v>202</v>
      </c>
      <c r="P21" s="3">
        <v>37485</v>
      </c>
      <c r="Q21" s="4">
        <v>37485</v>
      </c>
      <c r="R21" s="3" t="s">
        <v>153</v>
      </c>
      <c r="S21" s="3" t="s">
        <v>20</v>
      </c>
      <c r="T21" s="3" t="s">
        <v>20</v>
      </c>
      <c r="U21" s="3" t="s">
        <v>130</v>
      </c>
    </row>
    <row r="22" spans="1:21">
      <c r="A22">
        <v>3537</v>
      </c>
      <c r="B22" t="s">
        <v>123</v>
      </c>
      <c r="C22" t="s">
        <v>8</v>
      </c>
      <c r="D22" t="s">
        <v>28</v>
      </c>
      <c r="E22" t="s">
        <v>28</v>
      </c>
      <c r="F22" t="s">
        <v>34</v>
      </c>
      <c r="G22" t="s">
        <v>34</v>
      </c>
      <c r="H22" t="s">
        <v>124</v>
      </c>
      <c r="I22" t="s">
        <v>226</v>
      </c>
      <c r="J22" s="3" t="s">
        <v>227</v>
      </c>
      <c r="K22" s="3"/>
      <c r="L22" s="3" t="s">
        <v>127</v>
      </c>
      <c r="M22" s="3" t="s">
        <v>150</v>
      </c>
      <c r="N22" s="4" t="s">
        <v>228</v>
      </c>
      <c r="O22" s="3" t="s">
        <v>152</v>
      </c>
      <c r="P22" s="3">
        <v>81998.429999999993</v>
      </c>
      <c r="Q22" s="4">
        <v>81998.429999999993</v>
      </c>
      <c r="R22" s="3" t="s">
        <v>153</v>
      </c>
      <c r="S22" s="3" t="s">
        <v>20</v>
      </c>
      <c r="T22" s="3" t="s">
        <v>20</v>
      </c>
      <c r="U22" s="3" t="s">
        <v>130</v>
      </c>
    </row>
    <row r="23" spans="1:21" ht="27.6">
      <c r="A23">
        <v>3432</v>
      </c>
      <c r="B23" t="s">
        <v>131</v>
      </c>
      <c r="C23" t="s">
        <v>8</v>
      </c>
      <c r="D23" t="s">
        <v>28</v>
      </c>
      <c r="E23" t="s">
        <v>28</v>
      </c>
      <c r="F23" t="s">
        <v>35</v>
      </c>
      <c r="G23" t="s">
        <v>35</v>
      </c>
      <c r="H23" t="s">
        <v>188</v>
      </c>
      <c r="I23" t="s">
        <v>229</v>
      </c>
      <c r="J23" s="3" t="s">
        <v>230</v>
      </c>
      <c r="K23" s="3"/>
      <c r="L23" s="3" t="s">
        <v>127</v>
      </c>
      <c r="M23" s="3" t="s">
        <v>220</v>
      </c>
      <c r="N23" s="4">
        <v>350000</v>
      </c>
      <c r="O23" s="3" t="s">
        <v>170</v>
      </c>
      <c r="P23" s="3">
        <v>35000</v>
      </c>
      <c r="Q23" s="4">
        <v>35000</v>
      </c>
      <c r="R23" s="3" t="s">
        <v>171</v>
      </c>
      <c r="S23" s="3" t="s">
        <v>19</v>
      </c>
      <c r="T23" s="3" t="s">
        <v>19</v>
      </c>
      <c r="U23" s="3" t="s">
        <v>140</v>
      </c>
    </row>
    <row r="24" spans="1:21">
      <c r="A24">
        <v>3487</v>
      </c>
      <c r="B24" t="s">
        <v>131</v>
      </c>
      <c r="C24" t="s">
        <v>8</v>
      </c>
      <c r="D24" t="s">
        <v>28</v>
      </c>
      <c r="E24" t="s">
        <v>28</v>
      </c>
      <c r="F24" t="s">
        <v>35</v>
      </c>
      <c r="G24" t="s">
        <v>35</v>
      </c>
      <c r="H24" t="s">
        <v>124</v>
      </c>
      <c r="I24" t="s">
        <v>231</v>
      </c>
      <c r="J24" s="3" t="s">
        <v>232</v>
      </c>
      <c r="K24" s="3"/>
      <c r="L24" s="3" t="s">
        <v>127</v>
      </c>
      <c r="M24" s="3" t="s">
        <v>200</v>
      </c>
      <c r="N24" s="4" t="s">
        <v>233</v>
      </c>
      <c r="O24" s="3" t="s">
        <v>202</v>
      </c>
      <c r="P24" s="3">
        <v>59827.22</v>
      </c>
      <c r="Q24" s="4">
        <v>59827.22</v>
      </c>
      <c r="R24" s="3" t="s">
        <v>153</v>
      </c>
      <c r="S24" s="3" t="s">
        <v>20</v>
      </c>
      <c r="T24" s="3" t="s">
        <v>20</v>
      </c>
      <c r="U24" s="3" t="s">
        <v>140</v>
      </c>
    </row>
    <row r="25" spans="1:21">
      <c r="A25">
        <v>3516</v>
      </c>
      <c r="B25" t="s">
        <v>123</v>
      </c>
      <c r="C25" t="s">
        <v>8</v>
      </c>
      <c r="D25" t="s">
        <v>28</v>
      </c>
      <c r="E25" t="s">
        <v>28</v>
      </c>
      <c r="F25" t="s">
        <v>35</v>
      </c>
      <c r="G25" t="s">
        <v>35</v>
      </c>
      <c r="H25" t="s">
        <v>124</v>
      </c>
      <c r="I25" t="s">
        <v>234</v>
      </c>
      <c r="J25" s="3" t="s">
        <v>235</v>
      </c>
      <c r="K25" s="3"/>
      <c r="L25" s="3" t="s">
        <v>127</v>
      </c>
      <c r="M25" s="3" t="s">
        <v>150</v>
      </c>
      <c r="N25" s="4" t="s">
        <v>155</v>
      </c>
      <c r="O25" s="3" t="s">
        <v>152</v>
      </c>
      <c r="P25" s="3">
        <v>37485</v>
      </c>
      <c r="Q25" s="4">
        <v>37485</v>
      </c>
      <c r="R25" s="3" t="s">
        <v>153</v>
      </c>
      <c r="S25" s="3" t="s">
        <v>20</v>
      </c>
      <c r="T25" s="3" t="s">
        <v>20</v>
      </c>
      <c r="U25" s="3" t="s">
        <v>130</v>
      </c>
    </row>
    <row r="26" spans="1:21">
      <c r="A26">
        <v>3450</v>
      </c>
      <c r="B26" t="s">
        <v>8</v>
      </c>
      <c r="C26" t="s">
        <v>8</v>
      </c>
      <c r="D26" t="s">
        <v>28</v>
      </c>
      <c r="E26" t="s">
        <v>28</v>
      </c>
      <c r="F26" t="s">
        <v>35</v>
      </c>
      <c r="G26" t="s">
        <v>35</v>
      </c>
      <c r="H26" t="s">
        <v>124</v>
      </c>
      <c r="I26" t="s">
        <v>236</v>
      </c>
      <c r="J26" s="3" t="s">
        <v>237</v>
      </c>
      <c r="K26" s="3"/>
      <c r="L26" s="3" t="s">
        <v>127</v>
      </c>
      <c r="M26" s="3" t="s">
        <v>238</v>
      </c>
      <c r="N26" s="4" t="s">
        <v>239</v>
      </c>
      <c r="O26" s="3" t="s">
        <v>176</v>
      </c>
      <c r="P26" s="3" t="s">
        <v>240</v>
      </c>
      <c r="Q26" s="4">
        <v>104125</v>
      </c>
      <c r="R26" s="3" t="s">
        <v>153</v>
      </c>
      <c r="S26" s="3" t="s">
        <v>20</v>
      </c>
      <c r="T26" s="3" t="s">
        <v>20</v>
      </c>
      <c r="U26" s="3"/>
    </row>
    <row r="27" spans="1:21">
      <c r="A27">
        <v>3435</v>
      </c>
      <c r="B27" t="s">
        <v>8</v>
      </c>
      <c r="C27" t="s">
        <v>8</v>
      </c>
      <c r="D27" t="s">
        <v>28</v>
      </c>
      <c r="E27" t="s">
        <v>28</v>
      </c>
      <c r="F27" t="s">
        <v>36</v>
      </c>
      <c r="G27" t="s">
        <v>36</v>
      </c>
      <c r="H27" t="s">
        <v>141</v>
      </c>
      <c r="I27" t="s">
        <v>241</v>
      </c>
      <c r="J27" s="3" t="s">
        <v>242</v>
      </c>
      <c r="K27" s="3"/>
      <c r="L27" s="3" t="s">
        <v>12</v>
      </c>
      <c r="M27" s="3" t="s">
        <v>243</v>
      </c>
      <c r="N27" s="4">
        <v>1363000</v>
      </c>
      <c r="O27" s="3" t="s">
        <v>244</v>
      </c>
      <c r="P27" s="3">
        <v>136300</v>
      </c>
      <c r="Q27" s="4">
        <v>136300</v>
      </c>
      <c r="R27" s="3" t="s">
        <v>245</v>
      </c>
      <c r="S27" s="3" t="s">
        <v>19</v>
      </c>
      <c r="T27" s="3" t="s">
        <v>19</v>
      </c>
      <c r="U27" s="3"/>
    </row>
    <row r="28" spans="1:21">
      <c r="A28">
        <v>3504</v>
      </c>
      <c r="B28" t="s">
        <v>8</v>
      </c>
      <c r="C28" t="s">
        <v>8</v>
      </c>
      <c r="D28" t="s">
        <v>28</v>
      </c>
      <c r="E28" t="s">
        <v>28</v>
      </c>
      <c r="F28" t="s">
        <v>36</v>
      </c>
      <c r="G28" t="s">
        <v>36</v>
      </c>
      <c r="H28" t="s">
        <v>124</v>
      </c>
      <c r="I28" t="s">
        <v>246</v>
      </c>
      <c r="J28" s="3" t="s">
        <v>149</v>
      </c>
      <c r="K28" s="3"/>
      <c r="L28" s="3" t="s">
        <v>127</v>
      </c>
      <c r="M28" s="3" t="s">
        <v>193</v>
      </c>
      <c r="N28" s="4" t="s">
        <v>247</v>
      </c>
      <c r="O28" s="3" t="s">
        <v>152</v>
      </c>
      <c r="P28" s="3">
        <v>29155</v>
      </c>
      <c r="Q28" s="4">
        <v>29155</v>
      </c>
      <c r="R28" s="3" t="s">
        <v>153</v>
      </c>
      <c r="S28" s="3" t="s">
        <v>20</v>
      </c>
      <c r="T28" s="3" t="s">
        <v>20</v>
      </c>
      <c r="U28" s="3"/>
    </row>
    <row r="29" spans="1:21">
      <c r="A29">
        <v>3483</v>
      </c>
      <c r="B29" t="s">
        <v>8</v>
      </c>
      <c r="C29" t="s">
        <v>8</v>
      </c>
      <c r="D29" t="s">
        <v>28</v>
      </c>
      <c r="E29" t="s">
        <v>28</v>
      </c>
      <c r="F29" t="s">
        <v>36</v>
      </c>
      <c r="G29" t="s">
        <v>36</v>
      </c>
      <c r="H29" t="s">
        <v>124</v>
      </c>
      <c r="I29" t="s">
        <v>248</v>
      </c>
      <c r="J29" s="3" t="s">
        <v>149</v>
      </c>
      <c r="K29" s="3"/>
      <c r="L29" s="3" t="s">
        <v>127</v>
      </c>
      <c r="M29" s="3" t="s">
        <v>200</v>
      </c>
      <c r="N29" s="4" t="s">
        <v>155</v>
      </c>
      <c r="O29" s="3" t="s">
        <v>152</v>
      </c>
      <c r="P29" s="3">
        <v>45000</v>
      </c>
      <c r="Q29" s="4">
        <v>45000</v>
      </c>
      <c r="R29" s="3" t="s">
        <v>153</v>
      </c>
      <c r="S29" s="3" t="s">
        <v>20</v>
      </c>
      <c r="T29" s="3" t="s">
        <v>20</v>
      </c>
      <c r="U29" s="3"/>
    </row>
    <row r="30" spans="1:21">
      <c r="A30">
        <v>3206</v>
      </c>
      <c r="B30" t="s">
        <v>8</v>
      </c>
      <c r="C30" t="s">
        <v>8</v>
      </c>
      <c r="D30" t="s">
        <v>37</v>
      </c>
      <c r="E30" t="s">
        <v>37</v>
      </c>
      <c r="F30" t="s">
        <v>34</v>
      </c>
      <c r="G30" t="s">
        <v>34</v>
      </c>
      <c r="H30" t="s">
        <v>141</v>
      </c>
      <c r="I30" t="s">
        <v>249</v>
      </c>
      <c r="J30" s="3" t="s">
        <v>250</v>
      </c>
      <c r="K30" s="3"/>
      <c r="L30" s="3" t="s">
        <v>8</v>
      </c>
      <c r="M30" s="3" t="s">
        <v>181</v>
      </c>
      <c r="N30" s="4">
        <v>443000</v>
      </c>
      <c r="O30" s="3" t="s">
        <v>186</v>
      </c>
      <c r="P30" s="3">
        <v>44300</v>
      </c>
      <c r="Q30" s="4">
        <v>44300</v>
      </c>
      <c r="R30" s="3" t="s">
        <v>187</v>
      </c>
      <c r="S30" s="3" t="s">
        <v>4</v>
      </c>
      <c r="T30" s="3" t="s">
        <v>4</v>
      </c>
      <c r="U30" s="3"/>
    </row>
    <row r="31" spans="1:21">
      <c r="A31">
        <v>3375</v>
      </c>
      <c r="B31" t="s">
        <v>131</v>
      </c>
      <c r="C31" t="s">
        <v>8</v>
      </c>
      <c r="D31" t="s">
        <v>30</v>
      </c>
      <c r="E31" t="s">
        <v>30</v>
      </c>
      <c r="F31" t="s">
        <v>30</v>
      </c>
      <c r="G31" t="s">
        <v>30</v>
      </c>
      <c r="H31" t="s">
        <v>251</v>
      </c>
      <c r="I31" t="s">
        <v>252</v>
      </c>
      <c r="J31" s="3" t="s">
        <v>253</v>
      </c>
      <c r="K31" s="3"/>
      <c r="L31" s="3" t="s">
        <v>131</v>
      </c>
      <c r="M31" s="3" t="s">
        <v>254</v>
      </c>
      <c r="N31" s="4" t="s">
        <v>255</v>
      </c>
      <c r="O31" s="3" t="s">
        <v>256</v>
      </c>
      <c r="P31" s="3" t="s">
        <v>257</v>
      </c>
      <c r="Q31" s="4">
        <v>373517.59</v>
      </c>
      <c r="R31" s="3" t="s">
        <v>258</v>
      </c>
      <c r="S31" s="3" t="s">
        <v>4</v>
      </c>
      <c r="T31" s="3" t="s">
        <v>4</v>
      </c>
      <c r="U31" s="3" t="s">
        <v>140</v>
      </c>
    </row>
    <row r="32" spans="1:21">
      <c r="A32">
        <v>3463</v>
      </c>
      <c r="B32" t="s">
        <v>131</v>
      </c>
      <c r="C32" t="s">
        <v>8</v>
      </c>
      <c r="D32" t="s">
        <v>30</v>
      </c>
      <c r="E32" t="s">
        <v>30</v>
      </c>
      <c r="F32" t="s">
        <v>32</v>
      </c>
      <c r="G32" t="s">
        <v>32</v>
      </c>
      <c r="H32" t="s">
        <v>259</v>
      </c>
      <c r="I32" t="s">
        <v>260</v>
      </c>
      <c r="J32" s="3" t="s">
        <v>261</v>
      </c>
      <c r="K32" s="3"/>
      <c r="L32" s="3" t="s">
        <v>144</v>
      </c>
      <c r="M32" s="3" t="s">
        <v>174</v>
      </c>
      <c r="N32" s="4">
        <v>4380000</v>
      </c>
      <c r="O32" s="3" t="s">
        <v>262</v>
      </c>
      <c r="P32" s="3">
        <v>438000</v>
      </c>
      <c r="Q32" s="4">
        <v>438000</v>
      </c>
      <c r="R32" s="3" t="s">
        <v>263</v>
      </c>
      <c r="S32" s="3" t="s">
        <v>19</v>
      </c>
      <c r="T32" s="3" t="s">
        <v>19</v>
      </c>
      <c r="U32" s="3" t="s">
        <v>140</v>
      </c>
    </row>
    <row r="33" spans="1:21" ht="27.6">
      <c r="A33">
        <v>3431</v>
      </c>
      <c r="B33" t="s">
        <v>131</v>
      </c>
      <c r="C33" t="s">
        <v>8</v>
      </c>
      <c r="D33" t="s">
        <v>30</v>
      </c>
      <c r="E33" t="s">
        <v>30</v>
      </c>
      <c r="F33" t="s">
        <v>32</v>
      </c>
      <c r="G33" t="s">
        <v>32</v>
      </c>
      <c r="H33" t="s">
        <v>259</v>
      </c>
      <c r="I33" t="s">
        <v>264</v>
      </c>
      <c r="J33" s="3" t="s">
        <v>265</v>
      </c>
      <c r="K33" s="3"/>
      <c r="L33" s="3" t="s">
        <v>144</v>
      </c>
      <c r="M33" s="3" t="s">
        <v>220</v>
      </c>
      <c r="N33" s="4" t="s">
        <v>266</v>
      </c>
      <c r="O33" s="3" t="s">
        <v>267</v>
      </c>
      <c r="P33" s="3" t="s">
        <v>268</v>
      </c>
      <c r="Q33" s="4">
        <v>228880</v>
      </c>
      <c r="R33" s="3" t="s">
        <v>269</v>
      </c>
      <c r="S33" s="3" t="s">
        <v>19</v>
      </c>
      <c r="T33" s="3" t="s">
        <v>19</v>
      </c>
      <c r="U33" s="3" t="s">
        <v>140</v>
      </c>
    </row>
    <row r="34" spans="1:21">
      <c r="A34">
        <v>3304</v>
      </c>
      <c r="B34" t="s">
        <v>8</v>
      </c>
      <c r="C34" t="s">
        <v>8</v>
      </c>
      <c r="D34" t="s">
        <v>30</v>
      </c>
      <c r="E34" t="s">
        <v>30</v>
      </c>
      <c r="F34" t="s">
        <v>32</v>
      </c>
      <c r="G34" t="s">
        <v>32</v>
      </c>
      <c r="H34" t="s">
        <v>259</v>
      </c>
      <c r="I34" t="s">
        <v>270</v>
      </c>
      <c r="J34" s="3" t="s">
        <v>271</v>
      </c>
      <c r="K34" s="3"/>
      <c r="L34" s="3" t="s">
        <v>144</v>
      </c>
      <c r="M34" s="3" t="s">
        <v>272</v>
      </c>
      <c r="N34" s="4">
        <v>1550000</v>
      </c>
      <c r="O34" s="3" t="s">
        <v>273</v>
      </c>
      <c r="P34" s="3">
        <v>124000</v>
      </c>
      <c r="Q34" s="4">
        <v>124000</v>
      </c>
      <c r="R34" s="3" t="s">
        <v>274</v>
      </c>
      <c r="S34" s="3" t="s">
        <v>4</v>
      </c>
      <c r="T34" s="3" t="s">
        <v>4</v>
      </c>
      <c r="U34" s="3"/>
    </row>
    <row r="35" spans="1:21">
      <c r="A35">
        <v>3091</v>
      </c>
      <c r="B35" t="s">
        <v>8</v>
      </c>
      <c r="C35" t="s">
        <v>8</v>
      </c>
      <c r="D35" t="s">
        <v>30</v>
      </c>
      <c r="E35" t="s">
        <v>30</v>
      </c>
      <c r="F35" t="s">
        <v>32</v>
      </c>
      <c r="G35" t="s">
        <v>32</v>
      </c>
      <c r="H35" t="s">
        <v>275</v>
      </c>
      <c r="I35" t="s">
        <v>276</v>
      </c>
      <c r="J35" s="3" t="s">
        <v>277</v>
      </c>
      <c r="K35" s="3"/>
      <c r="L35" s="3" t="s">
        <v>144</v>
      </c>
      <c r="M35" s="3" t="s">
        <v>278</v>
      </c>
      <c r="N35" s="4">
        <v>7500000</v>
      </c>
      <c r="O35" s="3" t="s">
        <v>279</v>
      </c>
      <c r="P35" s="3">
        <v>900000</v>
      </c>
      <c r="Q35" s="4">
        <v>900000</v>
      </c>
      <c r="R35" s="3" t="s">
        <v>280</v>
      </c>
      <c r="S35" s="3" t="s">
        <v>4</v>
      </c>
      <c r="T35" s="3" t="s">
        <v>4</v>
      </c>
      <c r="U35" s="3"/>
    </row>
    <row r="36" spans="1:21">
      <c r="A36">
        <v>3208</v>
      </c>
      <c r="B36" t="s">
        <v>8</v>
      </c>
      <c r="C36" t="s">
        <v>8</v>
      </c>
      <c r="D36" t="s">
        <v>30</v>
      </c>
      <c r="E36" t="s">
        <v>30</v>
      </c>
      <c r="F36" t="s">
        <v>33</v>
      </c>
      <c r="G36" t="s">
        <v>33</v>
      </c>
      <c r="H36" t="s">
        <v>275</v>
      </c>
      <c r="I36" t="s">
        <v>281</v>
      </c>
      <c r="J36" s="3" t="s">
        <v>282</v>
      </c>
      <c r="K36" s="3"/>
      <c r="L36" s="3" t="s">
        <v>144</v>
      </c>
      <c r="M36" s="3" t="s">
        <v>283</v>
      </c>
      <c r="N36" s="4">
        <v>5900000</v>
      </c>
      <c r="O36" s="3" t="s">
        <v>284</v>
      </c>
      <c r="P36" s="3">
        <v>590000</v>
      </c>
      <c r="Q36" s="4">
        <v>590000</v>
      </c>
      <c r="R36" s="3" t="s">
        <v>285</v>
      </c>
      <c r="S36" s="3" t="s">
        <v>4</v>
      </c>
      <c r="T36" s="3" t="s">
        <v>4</v>
      </c>
      <c r="U36" s="3"/>
    </row>
    <row r="37" spans="1:21">
      <c r="A37">
        <v>3303</v>
      </c>
      <c r="B37" t="s">
        <v>8</v>
      </c>
      <c r="C37" t="s">
        <v>8</v>
      </c>
      <c r="D37" t="s">
        <v>30</v>
      </c>
      <c r="E37" t="s">
        <v>30</v>
      </c>
      <c r="F37" t="s">
        <v>34</v>
      </c>
      <c r="G37" t="s">
        <v>34</v>
      </c>
      <c r="H37" t="s">
        <v>251</v>
      </c>
      <c r="I37" t="s">
        <v>286</v>
      </c>
      <c r="J37" s="3" t="s">
        <v>287</v>
      </c>
      <c r="K37" s="3"/>
      <c r="L37" s="3" t="s">
        <v>8</v>
      </c>
      <c r="M37" s="3" t="s">
        <v>288</v>
      </c>
      <c r="N37" s="4">
        <v>1100000</v>
      </c>
      <c r="O37" s="3" t="s">
        <v>289</v>
      </c>
      <c r="P37" s="3">
        <v>87465</v>
      </c>
      <c r="Q37" s="4">
        <v>87465</v>
      </c>
      <c r="R37" s="3" t="s">
        <v>290</v>
      </c>
      <c r="S37" s="3" t="s">
        <v>4</v>
      </c>
      <c r="T37" s="3" t="s">
        <v>4</v>
      </c>
      <c r="U37" s="3"/>
    </row>
    <row r="38" spans="1:21" ht="27.6">
      <c r="A38">
        <v>3515</v>
      </c>
      <c r="B38" t="s">
        <v>8</v>
      </c>
      <c r="C38" t="s">
        <v>8</v>
      </c>
      <c r="D38" t="s">
        <v>30</v>
      </c>
      <c r="E38" t="s">
        <v>30</v>
      </c>
      <c r="F38" t="s">
        <v>34</v>
      </c>
      <c r="G38" t="s">
        <v>34</v>
      </c>
      <c r="H38" t="s">
        <v>251</v>
      </c>
      <c r="I38" t="s">
        <v>291</v>
      </c>
      <c r="J38" s="3" t="s">
        <v>292</v>
      </c>
      <c r="K38" s="3"/>
      <c r="L38" s="3" t="s">
        <v>8</v>
      </c>
      <c r="M38" s="3" t="s">
        <v>293</v>
      </c>
      <c r="N38" s="4">
        <v>2200000</v>
      </c>
      <c r="O38" s="3" t="s">
        <v>294</v>
      </c>
      <c r="P38" s="3">
        <v>183260</v>
      </c>
      <c r="Q38" s="4">
        <v>183260</v>
      </c>
      <c r="R38" s="3" t="s">
        <v>295</v>
      </c>
      <c r="S38" s="3" t="s">
        <v>19</v>
      </c>
      <c r="T38" s="3" t="s">
        <v>19</v>
      </c>
      <c r="U38" s="3"/>
    </row>
    <row r="39" spans="1:21">
      <c r="A39">
        <v>3302</v>
      </c>
      <c r="B39" t="s">
        <v>8</v>
      </c>
      <c r="C39" t="s">
        <v>8</v>
      </c>
      <c r="D39" t="s">
        <v>32</v>
      </c>
      <c r="E39" t="s">
        <v>32</v>
      </c>
      <c r="F39" t="s">
        <v>28</v>
      </c>
      <c r="G39" t="s">
        <v>28</v>
      </c>
      <c r="H39" t="s">
        <v>296</v>
      </c>
      <c r="I39" t="s">
        <v>297</v>
      </c>
      <c r="J39" s="3" t="s">
        <v>298</v>
      </c>
      <c r="K39" s="3"/>
      <c r="L39" s="3" t="s">
        <v>8</v>
      </c>
      <c r="M39" s="3" t="s">
        <v>299</v>
      </c>
      <c r="N39" s="4">
        <v>2846496</v>
      </c>
      <c r="O39" s="3" t="s">
        <v>300</v>
      </c>
      <c r="P39" s="3">
        <v>237113.11679999999</v>
      </c>
      <c r="Q39" s="4">
        <v>237113.11679999999</v>
      </c>
      <c r="R39" s="3" t="s">
        <v>301</v>
      </c>
      <c r="S39" s="3" t="s">
        <v>4</v>
      </c>
      <c r="T39" s="3" t="s">
        <v>4</v>
      </c>
      <c r="U39" s="3"/>
    </row>
    <row r="40" spans="1:21">
      <c r="A40">
        <v>3308</v>
      </c>
      <c r="B40" t="s">
        <v>8</v>
      </c>
      <c r="C40" t="s">
        <v>8</v>
      </c>
      <c r="D40" t="s">
        <v>32</v>
      </c>
      <c r="E40" t="s">
        <v>32</v>
      </c>
      <c r="F40" t="s">
        <v>34</v>
      </c>
      <c r="G40" t="s">
        <v>34</v>
      </c>
      <c r="H40" t="s">
        <v>302</v>
      </c>
      <c r="I40" t="s">
        <v>303</v>
      </c>
      <c r="J40" s="3" t="s">
        <v>304</v>
      </c>
      <c r="K40" s="3"/>
      <c r="L40" s="3" t="s">
        <v>8</v>
      </c>
      <c r="M40" s="3" t="s">
        <v>305</v>
      </c>
      <c r="N40" s="4">
        <v>1048000</v>
      </c>
      <c r="O40" s="3" t="s">
        <v>306</v>
      </c>
      <c r="P40" s="3">
        <v>87298.4</v>
      </c>
      <c r="Q40" s="4">
        <v>87298.4</v>
      </c>
      <c r="R40" s="3" t="s">
        <v>307</v>
      </c>
      <c r="S40" s="3" t="s">
        <v>4</v>
      </c>
      <c r="T40" s="3" t="s">
        <v>4</v>
      </c>
      <c r="U40" s="3"/>
    </row>
    <row r="41" spans="1:21">
      <c r="A41">
        <v>3449</v>
      </c>
      <c r="B41" t="s">
        <v>131</v>
      </c>
      <c r="C41" t="s">
        <v>8</v>
      </c>
      <c r="D41" t="s">
        <v>33</v>
      </c>
      <c r="E41" t="s">
        <v>33</v>
      </c>
      <c r="F41" t="s">
        <v>33</v>
      </c>
      <c r="G41" t="s">
        <v>33</v>
      </c>
      <c r="H41" t="s">
        <v>308</v>
      </c>
      <c r="I41" t="s">
        <v>309</v>
      </c>
      <c r="J41" s="3" t="s">
        <v>310</v>
      </c>
      <c r="K41" s="3"/>
      <c r="L41" s="3" t="s">
        <v>127</v>
      </c>
      <c r="M41" s="3" t="s">
        <v>238</v>
      </c>
      <c r="N41" s="4">
        <v>2100000</v>
      </c>
      <c r="O41" s="3" t="s">
        <v>311</v>
      </c>
      <c r="P41" s="3" t="s">
        <v>312</v>
      </c>
      <c r="Q41" s="4">
        <v>174930</v>
      </c>
      <c r="R41" s="3" t="s">
        <v>263</v>
      </c>
      <c r="S41" s="3" t="s">
        <v>19</v>
      </c>
      <c r="T41" s="3" t="s">
        <v>19</v>
      </c>
      <c r="U41" s="3" t="s">
        <v>140</v>
      </c>
    </row>
    <row r="42" spans="1:21" ht="27.6">
      <c r="A42">
        <v>3448</v>
      </c>
      <c r="B42" t="s">
        <v>8</v>
      </c>
      <c r="C42" t="s">
        <v>8</v>
      </c>
      <c r="D42" t="s">
        <v>33</v>
      </c>
      <c r="E42" t="s">
        <v>33</v>
      </c>
      <c r="F42" t="s">
        <v>33</v>
      </c>
      <c r="G42" t="s">
        <v>33</v>
      </c>
      <c r="H42" t="s">
        <v>308</v>
      </c>
      <c r="I42" t="s">
        <v>313</v>
      </c>
      <c r="J42" s="3" t="s">
        <v>314</v>
      </c>
      <c r="K42" s="3"/>
      <c r="L42" s="3" t="s">
        <v>315</v>
      </c>
      <c r="M42" s="3" t="s">
        <v>316</v>
      </c>
      <c r="N42" s="4">
        <v>1350000</v>
      </c>
      <c r="O42" s="3" t="s">
        <v>311</v>
      </c>
      <c r="P42" s="3" t="s">
        <v>317</v>
      </c>
      <c r="Q42" s="4">
        <v>112455</v>
      </c>
      <c r="R42" s="3" t="s">
        <v>263</v>
      </c>
      <c r="S42" s="3" t="s">
        <v>19</v>
      </c>
      <c r="T42" s="3" t="s">
        <v>19</v>
      </c>
      <c r="U42" s="3"/>
    </row>
    <row r="43" spans="1:21">
      <c r="A43">
        <v>3059</v>
      </c>
      <c r="B43" t="s">
        <v>8</v>
      </c>
      <c r="C43" t="s">
        <v>8</v>
      </c>
      <c r="D43" t="s">
        <v>33</v>
      </c>
      <c r="E43" t="s">
        <v>33</v>
      </c>
      <c r="F43" t="s">
        <v>34</v>
      </c>
      <c r="G43" t="s">
        <v>34</v>
      </c>
      <c r="H43" t="s">
        <v>318</v>
      </c>
      <c r="I43" t="s">
        <v>319</v>
      </c>
      <c r="J43" s="3" t="s">
        <v>320</v>
      </c>
      <c r="K43" s="3"/>
      <c r="L43" s="3" t="s">
        <v>8</v>
      </c>
      <c r="M43" s="3" t="s">
        <v>321</v>
      </c>
      <c r="N43" s="4">
        <v>600000</v>
      </c>
      <c r="O43" s="3" t="s">
        <v>322</v>
      </c>
      <c r="P43" s="3">
        <v>60000</v>
      </c>
      <c r="Q43" s="4">
        <v>60000</v>
      </c>
      <c r="R43" s="3" t="s">
        <v>323</v>
      </c>
      <c r="S43" s="3" t="s">
        <v>4</v>
      </c>
      <c r="T43" s="3" t="s">
        <v>4</v>
      </c>
      <c r="U43" s="3"/>
    </row>
    <row r="44" spans="1:21">
      <c r="A44">
        <v>3077</v>
      </c>
      <c r="B44" t="s">
        <v>8</v>
      </c>
      <c r="C44" t="s">
        <v>8</v>
      </c>
      <c r="D44" t="s">
        <v>38</v>
      </c>
      <c r="E44" t="s">
        <v>38</v>
      </c>
      <c r="F44" t="s">
        <v>34</v>
      </c>
      <c r="G44" t="s">
        <v>34</v>
      </c>
      <c r="H44" t="s">
        <v>324</v>
      </c>
      <c r="I44" t="s">
        <v>325</v>
      </c>
      <c r="J44" s="3" t="s">
        <v>326</v>
      </c>
      <c r="K44" s="3"/>
      <c r="L44" s="3" t="s">
        <v>327</v>
      </c>
      <c r="M44" s="3" t="s">
        <v>328</v>
      </c>
      <c r="N44" s="4">
        <v>950000</v>
      </c>
      <c r="O44" s="3" t="s">
        <v>329</v>
      </c>
      <c r="P44" s="3">
        <v>79135</v>
      </c>
      <c r="Q44" s="4">
        <v>79135</v>
      </c>
      <c r="R44" s="3" t="s">
        <v>330</v>
      </c>
      <c r="S44" s="3" t="s">
        <v>4</v>
      </c>
      <c r="T44" s="3" t="s">
        <v>4</v>
      </c>
      <c r="U44" s="3"/>
    </row>
    <row r="45" spans="1:21">
      <c r="A45">
        <v>3429</v>
      </c>
      <c r="B45" t="s">
        <v>8</v>
      </c>
      <c r="C45" t="s">
        <v>8</v>
      </c>
      <c r="D45" t="s">
        <v>35</v>
      </c>
      <c r="E45" t="s">
        <v>35</v>
      </c>
      <c r="F45" t="s">
        <v>33</v>
      </c>
      <c r="G45" t="s">
        <v>33</v>
      </c>
      <c r="H45" t="s">
        <v>331</v>
      </c>
      <c r="I45" t="s">
        <v>332</v>
      </c>
      <c r="J45" s="3" t="s">
        <v>333</v>
      </c>
      <c r="K45" s="3"/>
      <c r="L45" s="3" t="s">
        <v>8</v>
      </c>
      <c r="M45" s="3" t="s">
        <v>334</v>
      </c>
      <c r="N45" s="4">
        <v>900000</v>
      </c>
      <c r="O45" s="3" t="s">
        <v>335</v>
      </c>
      <c r="P45" s="3">
        <v>74970</v>
      </c>
      <c r="Q45" s="4">
        <v>74970</v>
      </c>
      <c r="R45" s="3" t="s">
        <v>336</v>
      </c>
      <c r="S45" s="3" t="s">
        <v>4</v>
      </c>
      <c r="T45" s="3" t="s">
        <v>4</v>
      </c>
      <c r="U45" s="3"/>
    </row>
    <row r="46" spans="1:21">
      <c r="A46">
        <v>3361</v>
      </c>
      <c r="B46" t="s">
        <v>8</v>
      </c>
      <c r="C46" t="s">
        <v>8</v>
      </c>
      <c r="D46" t="s">
        <v>35</v>
      </c>
      <c r="E46" t="s">
        <v>35</v>
      </c>
      <c r="F46" t="s">
        <v>35</v>
      </c>
      <c r="G46" t="s">
        <v>35</v>
      </c>
      <c r="H46" t="s">
        <v>331</v>
      </c>
      <c r="I46" t="s">
        <v>337</v>
      </c>
      <c r="J46" s="3" t="s">
        <v>338</v>
      </c>
      <c r="K46" s="3"/>
      <c r="L46" s="3" t="s">
        <v>8</v>
      </c>
      <c r="M46" s="3" t="s">
        <v>339</v>
      </c>
      <c r="N46" s="4">
        <v>700000</v>
      </c>
      <c r="O46" s="3" t="s">
        <v>340</v>
      </c>
      <c r="P46" s="3">
        <v>58310</v>
      </c>
      <c r="Q46" s="4">
        <v>58310</v>
      </c>
      <c r="R46" s="3" t="s">
        <v>341</v>
      </c>
      <c r="S46" s="3" t="s">
        <v>4</v>
      </c>
      <c r="T46" s="3" t="s">
        <v>4</v>
      </c>
      <c r="U46" s="3"/>
    </row>
    <row r="47" spans="1:21">
      <c r="A47">
        <v>3464</v>
      </c>
      <c r="B47" t="s">
        <v>8</v>
      </c>
      <c r="C47" t="s">
        <v>8</v>
      </c>
      <c r="D47" t="s">
        <v>36</v>
      </c>
      <c r="E47" t="s">
        <v>36</v>
      </c>
      <c r="F47" t="s">
        <v>35</v>
      </c>
      <c r="G47" t="s">
        <v>35</v>
      </c>
      <c r="H47" t="s">
        <v>342</v>
      </c>
      <c r="I47" t="s">
        <v>343</v>
      </c>
      <c r="J47" s="3" t="s">
        <v>344</v>
      </c>
      <c r="K47" s="3"/>
      <c r="L47" s="3" t="s">
        <v>207</v>
      </c>
      <c r="M47" s="3" t="s">
        <v>174</v>
      </c>
      <c r="N47" s="4" t="s">
        <v>345</v>
      </c>
      <c r="O47" s="3" t="s">
        <v>346</v>
      </c>
      <c r="P47" s="3">
        <v>103888.42</v>
      </c>
      <c r="Q47" s="4">
        <v>103888.42</v>
      </c>
      <c r="R47" s="3" t="s">
        <v>347</v>
      </c>
      <c r="S47" s="3" t="s">
        <v>19</v>
      </c>
      <c r="T47" s="3" t="s">
        <v>19</v>
      </c>
      <c r="U47" s="3"/>
    </row>
    <row r="48" spans="1:21" ht="27.6">
      <c r="A48">
        <v>3461</v>
      </c>
      <c r="B48" t="s">
        <v>123</v>
      </c>
      <c r="C48" t="s">
        <v>8</v>
      </c>
      <c r="D48" t="s">
        <v>39</v>
      </c>
      <c r="E48" t="s">
        <v>39</v>
      </c>
      <c r="F48" t="s">
        <v>35</v>
      </c>
      <c r="G48" t="s">
        <v>35</v>
      </c>
      <c r="H48" t="s">
        <v>342</v>
      </c>
      <c r="I48" t="s">
        <v>348</v>
      </c>
      <c r="J48" s="3" t="s">
        <v>349</v>
      </c>
      <c r="K48" s="3"/>
      <c r="L48" s="3" t="s">
        <v>207</v>
      </c>
      <c r="M48" s="3" t="s">
        <v>238</v>
      </c>
      <c r="N48" s="4" t="s">
        <v>350</v>
      </c>
      <c r="O48" s="3" t="s">
        <v>346</v>
      </c>
      <c r="P48" s="3">
        <v>73970.399999999994</v>
      </c>
      <c r="Q48" s="4">
        <v>73970.399999999994</v>
      </c>
      <c r="R48" s="3" t="s">
        <v>347</v>
      </c>
      <c r="S48" s="3" t="s">
        <v>19</v>
      </c>
      <c r="T48" s="3" t="s">
        <v>19</v>
      </c>
      <c r="U48" s="3" t="s">
        <v>130</v>
      </c>
    </row>
    <row r="49" spans="1:21" ht="27.6">
      <c r="A49">
        <v>3478</v>
      </c>
      <c r="B49" t="s">
        <v>10</v>
      </c>
      <c r="C49" t="s">
        <v>10</v>
      </c>
      <c r="D49" t="s">
        <v>40</v>
      </c>
      <c r="E49" t="s">
        <v>40</v>
      </c>
      <c r="F49" t="s">
        <v>41</v>
      </c>
      <c r="G49" t="s">
        <v>41</v>
      </c>
      <c r="H49" t="s">
        <v>351</v>
      </c>
      <c r="I49" t="s">
        <v>352</v>
      </c>
      <c r="J49" s="3" t="s">
        <v>353</v>
      </c>
      <c r="K49" s="3"/>
      <c r="L49" s="3" t="s">
        <v>11</v>
      </c>
      <c r="M49" s="3" t="s">
        <v>354</v>
      </c>
      <c r="N49" s="4">
        <v>4450000</v>
      </c>
      <c r="O49" s="3"/>
      <c r="P49" s="3">
        <v>400000</v>
      </c>
      <c r="Q49" s="4">
        <v>400000</v>
      </c>
      <c r="R49" s="3"/>
      <c r="S49" s="3" t="s">
        <v>20</v>
      </c>
      <c r="T49" s="3" t="s">
        <v>20</v>
      </c>
      <c r="U49" s="3"/>
    </row>
    <row r="50" spans="1:21">
      <c r="A50">
        <v>3287</v>
      </c>
      <c r="B50" t="s">
        <v>10</v>
      </c>
      <c r="C50" t="s">
        <v>10</v>
      </c>
      <c r="D50" t="s">
        <v>40</v>
      </c>
      <c r="E50" t="s">
        <v>40</v>
      </c>
      <c r="F50" t="s">
        <v>41</v>
      </c>
      <c r="G50" t="s">
        <v>41</v>
      </c>
      <c r="H50" t="s">
        <v>355</v>
      </c>
      <c r="I50" t="s">
        <v>356</v>
      </c>
      <c r="J50" s="3" t="s">
        <v>357</v>
      </c>
      <c r="K50" s="3"/>
      <c r="L50" s="3" t="s">
        <v>12</v>
      </c>
      <c r="M50" s="3" t="s">
        <v>358</v>
      </c>
      <c r="N50" s="4">
        <v>9720000</v>
      </c>
      <c r="O50" s="3" t="s">
        <v>359</v>
      </c>
      <c r="P50" s="3" t="s">
        <v>360</v>
      </c>
      <c r="Q50" s="4">
        <v>972000</v>
      </c>
      <c r="R50" s="3" t="s">
        <v>361</v>
      </c>
      <c r="S50" s="3" t="s">
        <v>19</v>
      </c>
      <c r="T50" s="3" t="s">
        <v>19</v>
      </c>
      <c r="U50" s="3"/>
    </row>
    <row r="51" spans="1:21">
      <c r="A51">
        <v>3184</v>
      </c>
      <c r="B51" t="s">
        <v>10</v>
      </c>
      <c r="C51" t="s">
        <v>10</v>
      </c>
      <c r="D51" t="s">
        <v>40</v>
      </c>
      <c r="E51" t="s">
        <v>40</v>
      </c>
      <c r="F51" t="s">
        <v>41</v>
      </c>
      <c r="G51" t="s">
        <v>41</v>
      </c>
      <c r="H51" t="s">
        <v>362</v>
      </c>
      <c r="I51" t="s">
        <v>363</v>
      </c>
      <c r="J51" s="3" t="s">
        <v>364</v>
      </c>
      <c r="K51" s="3"/>
      <c r="L51" s="3" t="s">
        <v>12</v>
      </c>
      <c r="M51" s="3" t="s">
        <v>365</v>
      </c>
      <c r="N51" s="4">
        <v>1250004</v>
      </c>
      <c r="O51" s="3" t="s">
        <v>366</v>
      </c>
      <c r="P51" s="3">
        <v>87500.280000000013</v>
      </c>
      <c r="Q51" s="4">
        <v>87500.280000000013</v>
      </c>
      <c r="R51" s="3" t="s">
        <v>367</v>
      </c>
      <c r="S51" s="3" t="s">
        <v>4</v>
      </c>
      <c r="T51" s="3" t="s">
        <v>4</v>
      </c>
      <c r="U51" s="3"/>
    </row>
    <row r="52" spans="1:21">
      <c r="A52">
        <v>3173</v>
      </c>
      <c r="B52" t="s">
        <v>10</v>
      </c>
      <c r="C52" t="s">
        <v>10</v>
      </c>
      <c r="D52" t="s">
        <v>40</v>
      </c>
      <c r="E52" t="s">
        <v>40</v>
      </c>
      <c r="F52" t="s">
        <v>41</v>
      </c>
      <c r="G52" t="s">
        <v>41</v>
      </c>
      <c r="H52" t="s">
        <v>362</v>
      </c>
      <c r="I52" t="s">
        <v>368</v>
      </c>
      <c r="J52" s="3" t="s">
        <v>369</v>
      </c>
      <c r="K52" s="3"/>
      <c r="L52" s="3" t="s">
        <v>12</v>
      </c>
      <c r="M52" s="3" t="s">
        <v>370</v>
      </c>
      <c r="N52" s="4">
        <v>1565004</v>
      </c>
      <c r="O52" s="3" t="s">
        <v>371</v>
      </c>
      <c r="P52" s="3">
        <v>109550.28000000001</v>
      </c>
      <c r="Q52" s="4">
        <v>109550.28000000001</v>
      </c>
      <c r="R52" s="3" t="s">
        <v>367</v>
      </c>
      <c r="S52" s="3" t="s">
        <v>4</v>
      </c>
      <c r="T52" s="3" t="s">
        <v>4</v>
      </c>
      <c r="U52" s="3"/>
    </row>
    <row r="53" spans="1:21" ht="27.6">
      <c r="A53">
        <v>3140</v>
      </c>
      <c r="B53" t="s">
        <v>10</v>
      </c>
      <c r="C53" t="s">
        <v>10</v>
      </c>
      <c r="D53" t="s">
        <v>40</v>
      </c>
      <c r="E53" t="s">
        <v>40</v>
      </c>
      <c r="F53" t="s">
        <v>41</v>
      </c>
      <c r="G53" t="s">
        <v>41</v>
      </c>
      <c r="H53" t="s">
        <v>362</v>
      </c>
      <c r="I53" t="s">
        <v>372</v>
      </c>
      <c r="J53" s="3" t="s">
        <v>373</v>
      </c>
      <c r="K53" s="3"/>
      <c r="L53" s="3" t="s">
        <v>12</v>
      </c>
      <c r="M53" s="3" t="s">
        <v>374</v>
      </c>
      <c r="N53" s="4">
        <v>850000</v>
      </c>
      <c r="O53" s="3" t="s">
        <v>375</v>
      </c>
      <c r="P53" s="3">
        <v>59500.000000000007</v>
      </c>
      <c r="Q53" s="4">
        <v>59500.000000000007</v>
      </c>
      <c r="R53" s="3" t="s">
        <v>376</v>
      </c>
      <c r="S53" s="3" t="s">
        <v>4</v>
      </c>
      <c r="T53" s="3" t="s">
        <v>4</v>
      </c>
      <c r="U53" s="3"/>
    </row>
    <row r="54" spans="1:21">
      <c r="A54">
        <v>3514</v>
      </c>
      <c r="B54" t="s">
        <v>10</v>
      </c>
      <c r="C54" t="s">
        <v>10</v>
      </c>
      <c r="D54" t="s">
        <v>40</v>
      </c>
      <c r="E54" t="s">
        <v>40</v>
      </c>
      <c r="F54" t="s">
        <v>41</v>
      </c>
      <c r="G54" t="s">
        <v>41</v>
      </c>
      <c r="H54" t="s">
        <v>275</v>
      </c>
      <c r="I54" t="s">
        <v>377</v>
      </c>
      <c r="J54" s="3" t="s">
        <v>378</v>
      </c>
      <c r="K54" s="3"/>
      <c r="L54" s="3" t="s">
        <v>379</v>
      </c>
      <c r="M54" s="3" t="s">
        <v>380</v>
      </c>
      <c r="N54" s="4">
        <v>4500000</v>
      </c>
      <c r="O54" s="3" t="s">
        <v>381</v>
      </c>
      <c r="P54" s="3" t="s">
        <v>155</v>
      </c>
      <c r="Q54" s="4">
        <v>450000</v>
      </c>
      <c r="R54" s="3" t="s">
        <v>382</v>
      </c>
      <c r="S54" s="3" t="s">
        <v>19</v>
      </c>
      <c r="T54" s="3" t="s">
        <v>19</v>
      </c>
      <c r="U54" s="3"/>
    </row>
    <row r="55" spans="1:21" ht="27.6">
      <c r="A55">
        <v>3065</v>
      </c>
      <c r="B55" t="s">
        <v>10</v>
      </c>
      <c r="C55" t="s">
        <v>10</v>
      </c>
      <c r="D55" t="s">
        <v>40</v>
      </c>
      <c r="E55" t="s">
        <v>40</v>
      </c>
      <c r="F55" t="s">
        <v>41</v>
      </c>
      <c r="G55" t="s">
        <v>41</v>
      </c>
      <c r="H55" t="s">
        <v>275</v>
      </c>
      <c r="I55" t="s">
        <v>383</v>
      </c>
      <c r="J55" s="3" t="s">
        <v>384</v>
      </c>
      <c r="K55" s="3"/>
      <c r="L55" s="3" t="s">
        <v>144</v>
      </c>
      <c r="M55" s="3" t="s">
        <v>385</v>
      </c>
      <c r="N55" s="4">
        <v>1650000</v>
      </c>
      <c r="O55" s="3" t="s">
        <v>386</v>
      </c>
      <c r="P55" s="3">
        <v>132000</v>
      </c>
      <c r="Q55" s="4">
        <v>132000</v>
      </c>
      <c r="R55" s="3" t="s">
        <v>387</v>
      </c>
      <c r="S55" s="3" t="s">
        <v>4</v>
      </c>
      <c r="T55" s="3" t="s">
        <v>4</v>
      </c>
      <c r="U55" s="3"/>
    </row>
    <row r="56" spans="1:21">
      <c r="A56">
        <v>3219</v>
      </c>
      <c r="B56" t="s">
        <v>10</v>
      </c>
      <c r="C56" t="s">
        <v>10</v>
      </c>
      <c r="D56" t="s">
        <v>40</v>
      </c>
      <c r="E56" t="s">
        <v>40</v>
      </c>
      <c r="F56" t="s">
        <v>41</v>
      </c>
      <c r="G56" t="s">
        <v>41</v>
      </c>
      <c r="H56" t="s">
        <v>388</v>
      </c>
      <c r="I56" t="s">
        <v>389</v>
      </c>
      <c r="J56" s="3" t="s">
        <v>390</v>
      </c>
      <c r="K56" s="3"/>
      <c r="L56" s="3" t="s">
        <v>12</v>
      </c>
      <c r="M56" s="3" t="s">
        <v>181</v>
      </c>
      <c r="N56" s="4">
        <v>3200004</v>
      </c>
      <c r="O56" s="3" t="s">
        <v>391</v>
      </c>
      <c r="P56" s="3">
        <v>320000.40000000002</v>
      </c>
      <c r="Q56" s="4">
        <v>320000.40000000002</v>
      </c>
      <c r="R56" s="3" t="s">
        <v>285</v>
      </c>
      <c r="S56" s="3" t="s">
        <v>4</v>
      </c>
      <c r="T56" s="3" t="s">
        <v>4</v>
      </c>
      <c r="U56" s="3"/>
    </row>
    <row r="57" spans="1:21">
      <c r="A57">
        <v>3138</v>
      </c>
      <c r="B57" t="s">
        <v>10</v>
      </c>
      <c r="C57" t="s">
        <v>10</v>
      </c>
      <c r="D57" t="s">
        <v>40</v>
      </c>
      <c r="E57" t="s">
        <v>40</v>
      </c>
      <c r="F57" t="s">
        <v>41</v>
      </c>
      <c r="G57" t="s">
        <v>41</v>
      </c>
      <c r="H57" t="s">
        <v>392</v>
      </c>
      <c r="I57" t="s">
        <v>393</v>
      </c>
      <c r="J57" s="3" t="s">
        <v>394</v>
      </c>
      <c r="K57" s="3"/>
      <c r="L57" s="3" t="s">
        <v>166</v>
      </c>
      <c r="M57" s="3" t="s">
        <v>374</v>
      </c>
      <c r="N57" s="4">
        <v>2300000</v>
      </c>
      <c r="O57" s="3" t="s">
        <v>395</v>
      </c>
      <c r="P57" s="3">
        <v>191590</v>
      </c>
      <c r="Q57" s="4">
        <v>191590</v>
      </c>
      <c r="R57" s="3" t="s">
        <v>396</v>
      </c>
      <c r="S57" s="3" t="s">
        <v>4</v>
      </c>
      <c r="T57" s="3" t="s">
        <v>4</v>
      </c>
      <c r="U57" s="3"/>
    </row>
    <row r="58" spans="1:21">
      <c r="A58">
        <v>3271</v>
      </c>
      <c r="B58" t="s">
        <v>10</v>
      </c>
      <c r="C58" t="s">
        <v>10</v>
      </c>
      <c r="D58" t="s">
        <v>40</v>
      </c>
      <c r="E58" t="s">
        <v>40</v>
      </c>
      <c r="F58" t="s">
        <v>42</v>
      </c>
      <c r="G58" t="s">
        <v>42</v>
      </c>
      <c r="H58" t="s">
        <v>397</v>
      </c>
      <c r="I58" t="s">
        <v>398</v>
      </c>
      <c r="J58" s="3" t="s">
        <v>399</v>
      </c>
      <c r="K58" s="3"/>
      <c r="L58" s="3" t="s">
        <v>400</v>
      </c>
      <c r="M58" s="3" t="s">
        <v>401</v>
      </c>
      <c r="N58" s="4">
        <v>1079270</v>
      </c>
      <c r="O58" s="3" t="s">
        <v>402</v>
      </c>
      <c r="P58" s="3">
        <v>89903.19</v>
      </c>
      <c r="Q58" s="4">
        <v>89903.19</v>
      </c>
      <c r="R58" s="3" t="s">
        <v>403</v>
      </c>
      <c r="S58" s="3" t="s">
        <v>4</v>
      </c>
      <c r="T58" s="3" t="s">
        <v>4</v>
      </c>
      <c r="U58" s="3"/>
    </row>
    <row r="59" spans="1:21">
      <c r="A59">
        <v>3270</v>
      </c>
      <c r="B59" t="s">
        <v>10</v>
      </c>
      <c r="C59" t="s">
        <v>10</v>
      </c>
      <c r="D59" t="s">
        <v>40</v>
      </c>
      <c r="E59" t="s">
        <v>40</v>
      </c>
      <c r="F59" t="s">
        <v>42</v>
      </c>
      <c r="G59" t="s">
        <v>42</v>
      </c>
      <c r="H59" t="s">
        <v>397</v>
      </c>
      <c r="I59" t="s">
        <v>404</v>
      </c>
      <c r="J59" s="3" t="s">
        <v>405</v>
      </c>
      <c r="K59" s="3"/>
      <c r="L59" s="3" t="s">
        <v>406</v>
      </c>
      <c r="M59" s="3" t="s">
        <v>401</v>
      </c>
      <c r="N59" s="4">
        <v>2046351</v>
      </c>
      <c r="O59" s="3" t="s">
        <v>402</v>
      </c>
      <c r="P59" s="3" t="s">
        <v>407</v>
      </c>
      <c r="Q59" s="4">
        <v>170461.04</v>
      </c>
      <c r="R59" s="3" t="s">
        <v>403</v>
      </c>
      <c r="S59" s="3" t="s">
        <v>4</v>
      </c>
      <c r="T59" s="3" t="s">
        <v>4</v>
      </c>
      <c r="U59" s="3"/>
    </row>
    <row r="60" spans="1:21">
      <c r="A60">
        <v>3061</v>
      </c>
      <c r="B60" t="s">
        <v>10</v>
      </c>
      <c r="C60" t="s">
        <v>10</v>
      </c>
      <c r="D60" t="s">
        <v>40</v>
      </c>
      <c r="E60" t="s">
        <v>40</v>
      </c>
      <c r="F60" t="s">
        <v>42</v>
      </c>
      <c r="G60" t="s">
        <v>42</v>
      </c>
      <c r="H60" t="s">
        <v>397</v>
      </c>
      <c r="I60" t="s">
        <v>408</v>
      </c>
      <c r="J60" s="3" t="s">
        <v>409</v>
      </c>
      <c r="K60" s="3"/>
      <c r="L60" s="3" t="s">
        <v>410</v>
      </c>
      <c r="M60" s="3" t="s">
        <v>411</v>
      </c>
      <c r="N60" s="4">
        <v>1203802</v>
      </c>
      <c r="O60" s="3" t="s">
        <v>412</v>
      </c>
      <c r="P60" s="3">
        <v>100276.7066</v>
      </c>
      <c r="Q60" s="4">
        <v>100276.7066</v>
      </c>
      <c r="R60" s="3" t="s">
        <v>413</v>
      </c>
      <c r="S60" s="3" t="s">
        <v>4</v>
      </c>
      <c r="T60" s="3" t="s">
        <v>4</v>
      </c>
      <c r="U60" s="3"/>
    </row>
    <row r="61" spans="1:21">
      <c r="A61">
        <v>3481</v>
      </c>
      <c r="B61" t="s">
        <v>10</v>
      </c>
      <c r="C61" t="s">
        <v>10</v>
      </c>
      <c r="D61" t="s">
        <v>40</v>
      </c>
      <c r="E61" t="s">
        <v>40</v>
      </c>
      <c r="F61" t="s">
        <v>42</v>
      </c>
      <c r="G61" t="s">
        <v>42</v>
      </c>
      <c r="H61" t="s">
        <v>397</v>
      </c>
      <c r="I61" t="s">
        <v>414</v>
      </c>
      <c r="J61" s="3" t="s">
        <v>415</v>
      </c>
      <c r="K61" s="3"/>
      <c r="L61" s="3" t="s">
        <v>416</v>
      </c>
      <c r="M61" s="3" t="s">
        <v>174</v>
      </c>
      <c r="N61" s="4">
        <v>1442088</v>
      </c>
      <c r="O61" s="3" t="s">
        <v>417</v>
      </c>
      <c r="P61" s="3" t="s">
        <v>418</v>
      </c>
      <c r="Q61" s="4">
        <v>120125.93</v>
      </c>
      <c r="R61" s="3" t="s">
        <v>295</v>
      </c>
      <c r="S61" s="3" t="s">
        <v>19</v>
      </c>
      <c r="T61" s="3" t="s">
        <v>19</v>
      </c>
      <c r="U61" s="3"/>
    </row>
    <row r="62" spans="1:21">
      <c r="A62">
        <v>3247</v>
      </c>
      <c r="B62" t="s">
        <v>10</v>
      </c>
      <c r="C62" t="s">
        <v>10</v>
      </c>
      <c r="D62" t="s">
        <v>40</v>
      </c>
      <c r="E62" t="s">
        <v>40</v>
      </c>
      <c r="F62" t="s">
        <v>42</v>
      </c>
      <c r="G62" t="s">
        <v>42</v>
      </c>
      <c r="H62" t="s">
        <v>397</v>
      </c>
      <c r="I62" t="s">
        <v>419</v>
      </c>
      <c r="J62" s="3" t="s">
        <v>420</v>
      </c>
      <c r="K62" s="3"/>
      <c r="L62" s="3" t="s">
        <v>410</v>
      </c>
      <c r="M62" s="3" t="s">
        <v>401</v>
      </c>
      <c r="N62" s="4">
        <v>813604</v>
      </c>
      <c r="O62" s="3" t="s">
        <v>402</v>
      </c>
      <c r="P62" s="3">
        <v>67773.210000000006</v>
      </c>
      <c r="Q62" s="4">
        <v>67773.210000000006</v>
      </c>
      <c r="R62" s="3" t="s">
        <v>403</v>
      </c>
      <c r="S62" s="3" t="s">
        <v>4</v>
      </c>
      <c r="T62" s="3" t="s">
        <v>4</v>
      </c>
      <c r="U62" s="3"/>
    </row>
    <row r="63" spans="1:21">
      <c r="A63">
        <v>3133</v>
      </c>
      <c r="B63" t="s">
        <v>10</v>
      </c>
      <c r="C63" t="s">
        <v>10</v>
      </c>
      <c r="D63" t="s">
        <v>40</v>
      </c>
      <c r="E63" t="s">
        <v>40</v>
      </c>
      <c r="F63" t="s">
        <v>42</v>
      </c>
      <c r="G63" t="s">
        <v>42</v>
      </c>
      <c r="H63" t="s">
        <v>397</v>
      </c>
      <c r="I63" t="s">
        <v>421</v>
      </c>
      <c r="J63" s="3" t="s">
        <v>422</v>
      </c>
      <c r="K63" s="3"/>
      <c r="L63" s="3" t="s">
        <v>400</v>
      </c>
      <c r="M63" s="3" t="s">
        <v>423</v>
      </c>
      <c r="N63" s="4">
        <v>1120781</v>
      </c>
      <c r="O63" s="3" t="s">
        <v>424</v>
      </c>
      <c r="P63" s="3">
        <v>93361.0573</v>
      </c>
      <c r="Q63" s="4">
        <v>93361.0573</v>
      </c>
      <c r="R63" s="3" t="s">
        <v>425</v>
      </c>
      <c r="S63" s="3" t="s">
        <v>4</v>
      </c>
      <c r="T63" s="3" t="s">
        <v>4</v>
      </c>
      <c r="U63" s="3"/>
    </row>
    <row r="64" spans="1:21">
      <c r="A64">
        <v>3023</v>
      </c>
      <c r="B64" t="s">
        <v>10</v>
      </c>
      <c r="C64" t="s">
        <v>10</v>
      </c>
      <c r="D64" t="s">
        <v>40</v>
      </c>
      <c r="E64" t="s">
        <v>40</v>
      </c>
      <c r="F64" t="s">
        <v>42</v>
      </c>
      <c r="G64" t="s">
        <v>42</v>
      </c>
      <c r="H64" t="s">
        <v>397</v>
      </c>
      <c r="I64" t="s">
        <v>426</v>
      </c>
      <c r="J64" s="3" t="s">
        <v>427</v>
      </c>
      <c r="K64" s="3"/>
      <c r="L64" s="3" t="s">
        <v>410</v>
      </c>
      <c r="M64" s="3" t="s">
        <v>428</v>
      </c>
      <c r="N64" s="4">
        <v>1079270</v>
      </c>
      <c r="O64" s="3" t="s">
        <v>429</v>
      </c>
      <c r="P64" s="3">
        <v>89903.191000000006</v>
      </c>
      <c r="Q64" s="4">
        <v>89903.191000000006</v>
      </c>
      <c r="R64" s="3" t="s">
        <v>430</v>
      </c>
      <c r="S64" s="3" t="s">
        <v>4</v>
      </c>
      <c r="T64" s="3" t="s">
        <v>4</v>
      </c>
      <c r="U64" s="3"/>
    </row>
    <row r="65" spans="1:21">
      <c r="A65">
        <v>3534</v>
      </c>
      <c r="B65" t="s">
        <v>10</v>
      </c>
      <c r="C65" t="s">
        <v>10</v>
      </c>
      <c r="D65" t="s">
        <v>40</v>
      </c>
      <c r="E65" t="s">
        <v>40</v>
      </c>
      <c r="F65" t="s">
        <v>42</v>
      </c>
      <c r="G65" t="s">
        <v>42</v>
      </c>
      <c r="H65" t="s">
        <v>397</v>
      </c>
      <c r="I65" t="s">
        <v>431</v>
      </c>
      <c r="J65" s="3" t="s">
        <v>432</v>
      </c>
      <c r="K65" s="3"/>
      <c r="L65" s="3" t="s">
        <v>410</v>
      </c>
      <c r="M65" s="3" t="s">
        <v>150</v>
      </c>
      <c r="N65" s="4">
        <v>1214000</v>
      </c>
      <c r="O65" s="3"/>
      <c r="P65" s="3">
        <v>72000</v>
      </c>
      <c r="Q65" s="4">
        <v>72000</v>
      </c>
      <c r="R65" s="3"/>
      <c r="S65" s="3" t="s">
        <v>20</v>
      </c>
      <c r="T65" s="3" t="s">
        <v>20</v>
      </c>
      <c r="U65" s="3"/>
    </row>
    <row r="66" spans="1:21">
      <c r="A66">
        <v>3314</v>
      </c>
      <c r="B66" t="s">
        <v>10</v>
      </c>
      <c r="C66" t="s">
        <v>10</v>
      </c>
      <c r="D66" t="s">
        <v>40</v>
      </c>
      <c r="E66" t="s">
        <v>40</v>
      </c>
      <c r="F66" t="s">
        <v>42</v>
      </c>
      <c r="G66" t="s">
        <v>42</v>
      </c>
      <c r="H66" t="s">
        <v>397</v>
      </c>
      <c r="I66" t="s">
        <v>433</v>
      </c>
      <c r="J66" s="3" t="s">
        <v>434</v>
      </c>
      <c r="K66" s="3"/>
      <c r="L66" s="3" t="s">
        <v>400</v>
      </c>
      <c r="M66" s="3" t="s">
        <v>401</v>
      </c>
      <c r="N66" s="4">
        <v>1328333</v>
      </c>
      <c r="O66" s="3" t="s">
        <v>402</v>
      </c>
      <c r="P66" s="3" t="s">
        <v>435</v>
      </c>
      <c r="Q66" s="4">
        <v>110650.14</v>
      </c>
      <c r="R66" s="3" t="s">
        <v>403</v>
      </c>
      <c r="S66" s="3" t="s">
        <v>4</v>
      </c>
      <c r="T66" s="3" t="s">
        <v>4</v>
      </c>
      <c r="U66" s="3"/>
    </row>
    <row r="67" spans="1:21">
      <c r="A67">
        <v>3166</v>
      </c>
      <c r="B67" t="s">
        <v>10</v>
      </c>
      <c r="C67" t="s">
        <v>10</v>
      </c>
      <c r="D67" t="s">
        <v>40</v>
      </c>
      <c r="E67" t="s">
        <v>40</v>
      </c>
      <c r="F67" t="s">
        <v>42</v>
      </c>
      <c r="G67" t="s">
        <v>42</v>
      </c>
      <c r="H67" t="s">
        <v>362</v>
      </c>
      <c r="I67" t="s">
        <v>436</v>
      </c>
      <c r="J67" s="3" t="s">
        <v>437</v>
      </c>
      <c r="K67" s="3"/>
      <c r="L67" s="3" t="s">
        <v>12</v>
      </c>
      <c r="M67" s="3" t="s">
        <v>438</v>
      </c>
      <c r="N67" s="4">
        <v>300000</v>
      </c>
      <c r="O67" s="3" t="s">
        <v>371</v>
      </c>
      <c r="P67" s="3">
        <v>25000</v>
      </c>
      <c r="Q67" s="4">
        <v>25000</v>
      </c>
      <c r="R67" s="3" t="s">
        <v>367</v>
      </c>
      <c r="S67" s="3" t="s">
        <v>4</v>
      </c>
      <c r="T67" s="3" t="s">
        <v>4</v>
      </c>
      <c r="U67" s="3"/>
    </row>
    <row r="68" spans="1:21">
      <c r="A68">
        <v>3135</v>
      </c>
      <c r="B68" t="s">
        <v>10</v>
      </c>
      <c r="C68" t="s">
        <v>10</v>
      </c>
      <c r="D68" t="s">
        <v>40</v>
      </c>
      <c r="E68" t="s">
        <v>40</v>
      </c>
      <c r="F68" t="s">
        <v>42</v>
      </c>
      <c r="G68" t="s">
        <v>42</v>
      </c>
      <c r="H68" t="s">
        <v>362</v>
      </c>
      <c r="I68" t="s">
        <v>439</v>
      </c>
      <c r="J68" s="3" t="s">
        <v>440</v>
      </c>
      <c r="K68" s="3"/>
      <c r="L68" s="3" t="s">
        <v>400</v>
      </c>
      <c r="M68" s="3" t="s">
        <v>423</v>
      </c>
      <c r="N68" s="4">
        <v>480000</v>
      </c>
      <c r="O68" s="3" t="s">
        <v>375</v>
      </c>
      <c r="P68" s="3">
        <v>25000</v>
      </c>
      <c r="Q68" s="4">
        <v>25000</v>
      </c>
      <c r="R68" s="3" t="s">
        <v>376</v>
      </c>
      <c r="S68" s="3" t="s">
        <v>4</v>
      </c>
      <c r="T68" s="3" t="s">
        <v>4</v>
      </c>
      <c r="U68" s="3"/>
    </row>
    <row r="69" spans="1:21">
      <c r="A69">
        <v>3115</v>
      </c>
      <c r="B69" t="s">
        <v>10</v>
      </c>
      <c r="C69" t="s">
        <v>10</v>
      </c>
      <c r="D69" t="s">
        <v>40</v>
      </c>
      <c r="E69" t="s">
        <v>40</v>
      </c>
      <c r="F69" t="s">
        <v>42</v>
      </c>
      <c r="G69" t="s">
        <v>42</v>
      </c>
      <c r="H69" t="s">
        <v>362</v>
      </c>
      <c r="I69" t="s">
        <v>441</v>
      </c>
      <c r="J69" s="3" t="s">
        <v>442</v>
      </c>
      <c r="K69" s="3"/>
      <c r="L69" s="3" t="s">
        <v>400</v>
      </c>
      <c r="M69" s="3" t="s">
        <v>278</v>
      </c>
      <c r="N69" s="4">
        <v>350000</v>
      </c>
      <c r="O69" s="3" t="s">
        <v>443</v>
      </c>
      <c r="P69" s="3">
        <v>25000</v>
      </c>
      <c r="Q69" s="4">
        <v>25000</v>
      </c>
      <c r="R69" s="3" t="s">
        <v>376</v>
      </c>
      <c r="S69" s="3" t="s">
        <v>4</v>
      </c>
      <c r="T69" s="3" t="s">
        <v>4</v>
      </c>
      <c r="U69" s="3"/>
    </row>
    <row r="70" spans="1:21">
      <c r="A70">
        <v>3134</v>
      </c>
      <c r="B70" t="s">
        <v>10</v>
      </c>
      <c r="C70" t="s">
        <v>10</v>
      </c>
      <c r="D70" t="s">
        <v>40</v>
      </c>
      <c r="E70" t="s">
        <v>40</v>
      </c>
      <c r="F70" t="s">
        <v>42</v>
      </c>
      <c r="G70" t="s">
        <v>42</v>
      </c>
      <c r="H70" t="s">
        <v>362</v>
      </c>
      <c r="I70" t="s">
        <v>444</v>
      </c>
      <c r="J70" s="3" t="s">
        <v>440</v>
      </c>
      <c r="K70" s="3"/>
      <c r="L70" s="3" t="s">
        <v>400</v>
      </c>
      <c r="M70" s="3" t="s">
        <v>423</v>
      </c>
      <c r="N70" s="4">
        <v>600000</v>
      </c>
      <c r="O70" s="3" t="s">
        <v>375</v>
      </c>
      <c r="P70" s="3">
        <v>42000.000000000007</v>
      </c>
      <c r="Q70" s="4">
        <v>42000.000000000007</v>
      </c>
      <c r="R70" s="3" t="s">
        <v>376</v>
      </c>
      <c r="S70" s="3" t="s">
        <v>4</v>
      </c>
      <c r="T70" s="3" t="s">
        <v>4</v>
      </c>
      <c r="U70" s="3"/>
    </row>
    <row r="71" spans="1:21">
      <c r="A71">
        <v>3177</v>
      </c>
      <c r="B71" t="s">
        <v>10</v>
      </c>
      <c r="C71" t="s">
        <v>10</v>
      </c>
      <c r="D71" t="s">
        <v>40</v>
      </c>
      <c r="E71" t="s">
        <v>40</v>
      </c>
      <c r="F71" t="s">
        <v>42</v>
      </c>
      <c r="G71" t="s">
        <v>42</v>
      </c>
      <c r="H71" t="s">
        <v>362</v>
      </c>
      <c r="I71" t="s">
        <v>445</v>
      </c>
      <c r="J71" s="3" t="s">
        <v>440</v>
      </c>
      <c r="K71" s="3"/>
      <c r="L71" s="3" t="s">
        <v>12</v>
      </c>
      <c r="M71" s="3" t="s">
        <v>370</v>
      </c>
      <c r="N71" s="4">
        <v>545004</v>
      </c>
      <c r="O71" s="3" t="s">
        <v>371</v>
      </c>
      <c r="P71" s="3">
        <v>38150.280000000006</v>
      </c>
      <c r="Q71" s="4">
        <v>38150.280000000006</v>
      </c>
      <c r="R71" s="3" t="s">
        <v>367</v>
      </c>
      <c r="S71" s="3" t="s">
        <v>4</v>
      </c>
      <c r="T71" s="3" t="s">
        <v>4</v>
      </c>
      <c r="U71" s="3"/>
    </row>
    <row r="72" spans="1:21">
      <c r="A72">
        <v>3322</v>
      </c>
      <c r="B72" t="s">
        <v>10</v>
      </c>
      <c r="C72" t="s">
        <v>10</v>
      </c>
      <c r="D72" t="s">
        <v>40</v>
      </c>
      <c r="E72" t="s">
        <v>40</v>
      </c>
      <c r="F72" t="s">
        <v>42</v>
      </c>
      <c r="G72" t="s">
        <v>42</v>
      </c>
      <c r="H72" t="s">
        <v>446</v>
      </c>
      <c r="I72" t="s">
        <v>447</v>
      </c>
      <c r="J72" s="3" t="s">
        <v>448</v>
      </c>
      <c r="K72" s="3"/>
      <c r="L72" s="3" t="s">
        <v>449</v>
      </c>
      <c r="M72" s="3" t="s">
        <v>450</v>
      </c>
      <c r="N72" s="4">
        <v>650007</v>
      </c>
      <c r="O72" s="3" t="s">
        <v>451</v>
      </c>
      <c r="P72" s="3">
        <v>67145.72</v>
      </c>
      <c r="Q72" s="4">
        <v>67145.72</v>
      </c>
      <c r="R72" s="3" t="s">
        <v>452</v>
      </c>
      <c r="S72" s="3" t="s">
        <v>4</v>
      </c>
      <c r="T72" s="3" t="s">
        <v>4</v>
      </c>
      <c r="U72" s="3"/>
    </row>
    <row r="73" spans="1:21">
      <c r="A73">
        <v>3331</v>
      </c>
      <c r="B73" t="s">
        <v>10</v>
      </c>
      <c r="C73" t="s">
        <v>10</v>
      </c>
      <c r="D73" t="s">
        <v>40</v>
      </c>
      <c r="E73" t="s">
        <v>40</v>
      </c>
      <c r="F73" t="s">
        <v>42</v>
      </c>
      <c r="G73" t="s">
        <v>42</v>
      </c>
      <c r="H73" t="s">
        <v>453</v>
      </c>
      <c r="I73" t="s">
        <v>454</v>
      </c>
      <c r="J73" s="3" t="s">
        <v>455</v>
      </c>
      <c r="K73" s="3"/>
      <c r="L73" s="3" t="s">
        <v>456</v>
      </c>
      <c r="M73" s="3" t="s">
        <v>457</v>
      </c>
      <c r="N73" s="4">
        <v>1310000</v>
      </c>
      <c r="O73" s="3" t="s">
        <v>458</v>
      </c>
      <c r="P73" s="3">
        <v>131000</v>
      </c>
      <c r="Q73" s="4">
        <v>131000</v>
      </c>
      <c r="R73" s="3" t="s">
        <v>401</v>
      </c>
      <c r="S73" s="3" t="s">
        <v>4</v>
      </c>
      <c r="T73" s="3" t="s">
        <v>4</v>
      </c>
      <c r="U73" s="3"/>
    </row>
    <row r="74" spans="1:21">
      <c r="A74">
        <v>3374</v>
      </c>
      <c r="B74" t="s">
        <v>10</v>
      </c>
      <c r="C74" t="s">
        <v>10</v>
      </c>
      <c r="D74" t="s">
        <v>40</v>
      </c>
      <c r="E74" t="s">
        <v>40</v>
      </c>
      <c r="F74" t="s">
        <v>42</v>
      </c>
      <c r="G74" t="s">
        <v>42</v>
      </c>
      <c r="H74" t="s">
        <v>453</v>
      </c>
      <c r="I74" t="s">
        <v>459</v>
      </c>
      <c r="J74" s="3" t="s">
        <v>455</v>
      </c>
      <c r="K74" s="3"/>
      <c r="L74" s="3" t="s">
        <v>456</v>
      </c>
      <c r="M74" s="3" t="s">
        <v>460</v>
      </c>
      <c r="N74" s="4">
        <v>1250000</v>
      </c>
      <c r="O74" s="3" t="s">
        <v>458</v>
      </c>
      <c r="P74" s="3" t="s">
        <v>461</v>
      </c>
      <c r="Q74" s="4">
        <v>125000</v>
      </c>
      <c r="R74" s="3" t="s">
        <v>401</v>
      </c>
      <c r="S74" s="3" t="s">
        <v>4</v>
      </c>
      <c r="T74" s="3" t="s">
        <v>4</v>
      </c>
      <c r="U74" s="3"/>
    </row>
    <row r="75" spans="1:21">
      <c r="A75">
        <v>3513</v>
      </c>
      <c r="B75" t="s">
        <v>10</v>
      </c>
      <c r="C75" t="s">
        <v>10</v>
      </c>
      <c r="D75" t="s">
        <v>40</v>
      </c>
      <c r="E75" t="s">
        <v>40</v>
      </c>
      <c r="F75" t="s">
        <v>43</v>
      </c>
      <c r="G75" t="s">
        <v>43</v>
      </c>
      <c r="H75" t="s">
        <v>462</v>
      </c>
      <c r="I75" t="s">
        <v>463</v>
      </c>
      <c r="J75" s="3" t="s">
        <v>464</v>
      </c>
      <c r="K75" s="3"/>
      <c r="L75" s="3" t="s">
        <v>465</v>
      </c>
      <c r="M75" s="3" t="s">
        <v>200</v>
      </c>
      <c r="N75" s="4">
        <v>546456</v>
      </c>
      <c r="O75" s="3"/>
      <c r="P75" s="3">
        <v>30000</v>
      </c>
      <c r="Q75" s="4">
        <v>30000</v>
      </c>
      <c r="R75" s="3"/>
      <c r="S75" s="3" t="s">
        <v>20</v>
      </c>
      <c r="T75" s="3" t="s">
        <v>20</v>
      </c>
      <c r="U75" s="3"/>
    </row>
    <row r="76" spans="1:21">
      <c r="A76">
        <v>3372</v>
      </c>
      <c r="B76" t="s">
        <v>10</v>
      </c>
      <c r="C76" t="s">
        <v>10</v>
      </c>
      <c r="D76" t="s">
        <v>40</v>
      </c>
      <c r="E76" t="s">
        <v>40</v>
      </c>
      <c r="F76" t="s">
        <v>43</v>
      </c>
      <c r="G76" t="s">
        <v>43</v>
      </c>
      <c r="H76" t="s">
        <v>388</v>
      </c>
      <c r="I76" t="s">
        <v>466</v>
      </c>
      <c r="J76" s="3" t="s">
        <v>467</v>
      </c>
      <c r="K76" s="3"/>
      <c r="L76" s="3" t="s">
        <v>456</v>
      </c>
      <c r="M76" s="3" t="s">
        <v>468</v>
      </c>
      <c r="N76" s="4" t="s">
        <v>469</v>
      </c>
      <c r="O76" s="3" t="s">
        <v>470</v>
      </c>
      <c r="P76" s="3">
        <v>40908.629999999997</v>
      </c>
      <c r="Q76" s="4">
        <v>40908.629999999997</v>
      </c>
      <c r="R76" s="3" t="s">
        <v>471</v>
      </c>
      <c r="S76" s="3" t="s">
        <v>4</v>
      </c>
      <c r="T76" s="3" t="s">
        <v>4</v>
      </c>
      <c r="U76" s="3"/>
    </row>
    <row r="77" spans="1:21">
      <c r="A77">
        <v>3389</v>
      </c>
      <c r="B77" t="s">
        <v>10</v>
      </c>
      <c r="C77" t="s">
        <v>10</v>
      </c>
      <c r="D77" t="s">
        <v>40</v>
      </c>
      <c r="E77" t="s">
        <v>40</v>
      </c>
      <c r="F77" t="s">
        <v>43</v>
      </c>
      <c r="G77" t="s">
        <v>43</v>
      </c>
      <c r="H77" t="s">
        <v>388</v>
      </c>
      <c r="I77" t="s">
        <v>472</v>
      </c>
      <c r="J77" s="3" t="s">
        <v>467</v>
      </c>
      <c r="K77" s="3"/>
      <c r="L77" s="3" t="s">
        <v>12</v>
      </c>
      <c r="M77" s="3" t="s">
        <v>254</v>
      </c>
      <c r="N77" s="4" t="s">
        <v>473</v>
      </c>
      <c r="O77" s="3" t="s">
        <v>470</v>
      </c>
      <c r="P77" s="3">
        <v>49980</v>
      </c>
      <c r="Q77" s="4">
        <v>49980</v>
      </c>
      <c r="R77" s="3" t="s">
        <v>471</v>
      </c>
      <c r="S77" s="3" t="s">
        <v>4</v>
      </c>
      <c r="T77" s="3" t="s">
        <v>4</v>
      </c>
      <c r="U77" s="3"/>
    </row>
    <row r="78" spans="1:21">
      <c r="A78">
        <v>3477</v>
      </c>
      <c r="B78" t="s">
        <v>10</v>
      </c>
      <c r="C78" t="s">
        <v>10</v>
      </c>
      <c r="D78" t="s">
        <v>40</v>
      </c>
      <c r="E78" t="s">
        <v>40</v>
      </c>
      <c r="F78" t="s">
        <v>43</v>
      </c>
      <c r="G78" t="s">
        <v>43</v>
      </c>
      <c r="H78" t="s">
        <v>474</v>
      </c>
      <c r="I78" t="s">
        <v>475</v>
      </c>
      <c r="J78" s="3" t="s">
        <v>476</v>
      </c>
      <c r="K78" s="3"/>
      <c r="L78" s="3" t="s">
        <v>477</v>
      </c>
      <c r="M78" s="3" t="s">
        <v>238</v>
      </c>
      <c r="N78" s="4">
        <v>1128005</v>
      </c>
      <c r="O78" s="3" t="s">
        <v>478</v>
      </c>
      <c r="P78" s="3">
        <v>93962.81</v>
      </c>
      <c r="Q78" s="4">
        <v>93962.81</v>
      </c>
      <c r="R78" s="3" t="s">
        <v>382</v>
      </c>
      <c r="S78" s="3" t="s">
        <v>20</v>
      </c>
      <c r="T78" s="3" t="s">
        <v>20</v>
      </c>
      <c r="U78" s="3"/>
    </row>
    <row r="79" spans="1:21">
      <c r="A79">
        <v>3445</v>
      </c>
      <c r="B79" t="s">
        <v>10</v>
      </c>
      <c r="C79" t="s">
        <v>10</v>
      </c>
      <c r="D79" t="s">
        <v>40</v>
      </c>
      <c r="E79" t="s">
        <v>40</v>
      </c>
      <c r="F79" t="s">
        <v>43</v>
      </c>
      <c r="G79" t="s">
        <v>43</v>
      </c>
      <c r="H79" t="s">
        <v>479</v>
      </c>
      <c r="I79" t="s">
        <v>480</v>
      </c>
      <c r="J79" s="3" t="s">
        <v>481</v>
      </c>
      <c r="K79" s="3"/>
      <c r="L79" s="3" t="s">
        <v>482</v>
      </c>
      <c r="M79" s="3" t="s">
        <v>243</v>
      </c>
      <c r="N79" s="4">
        <v>655000</v>
      </c>
      <c r="O79" s="3" t="s">
        <v>483</v>
      </c>
      <c r="P79" s="3">
        <v>54561.5</v>
      </c>
      <c r="Q79" s="4">
        <v>54561.5</v>
      </c>
      <c r="R79" s="3" t="s">
        <v>484</v>
      </c>
      <c r="S79" s="3" t="s">
        <v>4</v>
      </c>
      <c r="T79" s="3" t="s">
        <v>4</v>
      </c>
      <c r="U79" s="3"/>
    </row>
    <row r="80" spans="1:21">
      <c r="A80">
        <v>3183</v>
      </c>
      <c r="B80" t="s">
        <v>10</v>
      </c>
      <c r="C80" t="s">
        <v>10</v>
      </c>
      <c r="D80" t="s">
        <v>40</v>
      </c>
      <c r="E80" t="s">
        <v>40</v>
      </c>
      <c r="F80" t="s">
        <v>44</v>
      </c>
      <c r="G80" t="s">
        <v>44</v>
      </c>
      <c r="H80" t="s">
        <v>362</v>
      </c>
      <c r="I80" t="s">
        <v>485</v>
      </c>
      <c r="J80" s="3" t="s">
        <v>486</v>
      </c>
      <c r="K80" s="3"/>
      <c r="L80" s="3" t="s">
        <v>12</v>
      </c>
      <c r="M80" s="3" t="s">
        <v>365</v>
      </c>
      <c r="N80" s="4">
        <v>300000</v>
      </c>
      <c r="O80" s="3" t="s">
        <v>366</v>
      </c>
      <c r="P80" s="3">
        <v>25000</v>
      </c>
      <c r="Q80" s="4">
        <v>25000</v>
      </c>
      <c r="R80" s="3" t="s">
        <v>367</v>
      </c>
      <c r="S80" s="3" t="s">
        <v>4</v>
      </c>
      <c r="T80" s="3" t="s">
        <v>4</v>
      </c>
      <c r="U80" s="3"/>
    </row>
    <row r="81" spans="1:21" ht="27.6">
      <c r="A81">
        <v>3446</v>
      </c>
      <c r="B81" t="s">
        <v>10</v>
      </c>
      <c r="C81" t="s">
        <v>10</v>
      </c>
      <c r="D81" t="s">
        <v>40</v>
      </c>
      <c r="E81" t="s">
        <v>40</v>
      </c>
      <c r="F81" t="s">
        <v>44</v>
      </c>
      <c r="G81" t="s">
        <v>44</v>
      </c>
      <c r="H81" t="s">
        <v>487</v>
      </c>
      <c r="I81" t="s">
        <v>488</v>
      </c>
      <c r="J81" s="3" t="s">
        <v>489</v>
      </c>
      <c r="K81" s="3"/>
      <c r="L81" s="3" t="s">
        <v>449</v>
      </c>
      <c r="M81" s="3" t="s">
        <v>243</v>
      </c>
      <c r="N81" s="4" t="s">
        <v>490</v>
      </c>
      <c r="O81" s="3" t="s">
        <v>491</v>
      </c>
      <c r="P81" s="3">
        <v>45815.99</v>
      </c>
      <c r="Q81" s="4">
        <v>45815.99</v>
      </c>
      <c r="R81" s="3" t="s">
        <v>484</v>
      </c>
      <c r="S81" s="3" t="s">
        <v>4</v>
      </c>
      <c r="T81" s="3" t="s">
        <v>4</v>
      </c>
      <c r="U81" s="3"/>
    </row>
    <row r="82" spans="1:21" ht="27.6">
      <c r="A82">
        <v>3351</v>
      </c>
      <c r="B82" t="s">
        <v>10</v>
      </c>
      <c r="C82" t="s">
        <v>10</v>
      </c>
      <c r="D82" t="s">
        <v>40</v>
      </c>
      <c r="E82" t="s">
        <v>40</v>
      </c>
      <c r="F82" t="s">
        <v>44</v>
      </c>
      <c r="G82" t="s">
        <v>44</v>
      </c>
      <c r="H82" t="s">
        <v>487</v>
      </c>
      <c r="I82" t="s">
        <v>492</v>
      </c>
      <c r="J82" s="3" t="s">
        <v>493</v>
      </c>
      <c r="K82" s="3"/>
      <c r="L82" s="3" t="s">
        <v>449</v>
      </c>
      <c r="M82" s="3" t="s">
        <v>214</v>
      </c>
      <c r="N82" s="4">
        <v>650007</v>
      </c>
      <c r="O82" s="3" t="s">
        <v>494</v>
      </c>
      <c r="P82" s="3">
        <v>54145.58</v>
      </c>
      <c r="Q82" s="4">
        <v>54145.58</v>
      </c>
      <c r="R82" s="3" t="s">
        <v>495</v>
      </c>
      <c r="S82" s="3" t="s">
        <v>4</v>
      </c>
      <c r="T82" s="3" t="s">
        <v>4</v>
      </c>
      <c r="U82" s="3"/>
    </row>
    <row r="83" spans="1:21">
      <c r="A83">
        <v>3277</v>
      </c>
      <c r="B83" t="s">
        <v>10</v>
      </c>
      <c r="C83" t="s">
        <v>10</v>
      </c>
      <c r="D83" t="s">
        <v>40</v>
      </c>
      <c r="E83" t="s">
        <v>40</v>
      </c>
      <c r="F83" t="s">
        <v>44</v>
      </c>
      <c r="G83" t="s">
        <v>44</v>
      </c>
      <c r="H83" t="s">
        <v>487</v>
      </c>
      <c r="I83" t="s">
        <v>496</v>
      </c>
      <c r="J83" s="3" t="s">
        <v>497</v>
      </c>
      <c r="K83" s="3"/>
      <c r="L83" s="3" t="s">
        <v>449</v>
      </c>
      <c r="M83" s="3" t="s">
        <v>498</v>
      </c>
      <c r="N83" s="4">
        <v>525001</v>
      </c>
      <c r="O83" s="3" t="s">
        <v>499</v>
      </c>
      <c r="P83" s="3">
        <v>43732.583299999998</v>
      </c>
      <c r="Q83" s="4">
        <v>43732.583299999998</v>
      </c>
      <c r="R83" s="3" t="s">
        <v>500</v>
      </c>
      <c r="S83" s="3" t="s">
        <v>4</v>
      </c>
      <c r="T83" s="3" t="s">
        <v>4</v>
      </c>
      <c r="U83" s="3"/>
    </row>
    <row r="84" spans="1:21">
      <c r="A84">
        <v>3131</v>
      </c>
      <c r="B84" t="s">
        <v>10</v>
      </c>
      <c r="C84" t="s">
        <v>10</v>
      </c>
      <c r="D84" t="s">
        <v>40</v>
      </c>
      <c r="E84" t="s">
        <v>40</v>
      </c>
      <c r="F84" t="s">
        <v>45</v>
      </c>
      <c r="G84" t="s">
        <v>45</v>
      </c>
      <c r="H84" t="s">
        <v>388</v>
      </c>
      <c r="I84" t="s">
        <v>501</v>
      </c>
      <c r="J84" s="3" t="s">
        <v>502</v>
      </c>
      <c r="K84" s="3"/>
      <c r="L84" s="3" t="s">
        <v>12</v>
      </c>
      <c r="M84" s="3" t="s">
        <v>423</v>
      </c>
      <c r="N84" s="4">
        <v>2924267</v>
      </c>
      <c r="O84" s="3" t="s">
        <v>503</v>
      </c>
      <c r="P84" s="3">
        <v>292426.7</v>
      </c>
      <c r="Q84" s="4">
        <v>292426.7</v>
      </c>
      <c r="R84" s="3" t="s">
        <v>504</v>
      </c>
      <c r="S84" s="3" t="s">
        <v>4</v>
      </c>
      <c r="T84" s="3" t="s">
        <v>4</v>
      </c>
      <c r="U84" s="3"/>
    </row>
    <row r="85" spans="1:21">
      <c r="A85">
        <v>3441</v>
      </c>
      <c r="B85" t="s">
        <v>10</v>
      </c>
      <c r="C85" t="s">
        <v>10</v>
      </c>
      <c r="D85" t="s">
        <v>40</v>
      </c>
      <c r="E85" t="s">
        <v>40</v>
      </c>
      <c r="F85" t="s">
        <v>32</v>
      </c>
      <c r="G85" t="s">
        <v>32</v>
      </c>
      <c r="H85" t="s">
        <v>362</v>
      </c>
      <c r="I85" t="s">
        <v>505</v>
      </c>
      <c r="J85" s="3" t="s">
        <v>506</v>
      </c>
      <c r="K85" s="3"/>
      <c r="L85" s="3" t="s">
        <v>12</v>
      </c>
      <c r="M85" s="3" t="s">
        <v>507</v>
      </c>
      <c r="N85" s="4">
        <v>915000</v>
      </c>
      <c r="O85" s="3" t="s">
        <v>508</v>
      </c>
      <c r="P85" s="3">
        <v>64050</v>
      </c>
      <c r="Q85" s="4">
        <v>64050</v>
      </c>
      <c r="R85" s="3" t="s">
        <v>509</v>
      </c>
      <c r="S85" s="3" t="s">
        <v>4</v>
      </c>
      <c r="T85" s="3" t="s">
        <v>4</v>
      </c>
      <c r="U85" s="3"/>
    </row>
    <row r="86" spans="1:21">
      <c r="A86">
        <v>3109</v>
      </c>
      <c r="B86" t="s">
        <v>10</v>
      </c>
      <c r="C86" t="s">
        <v>10</v>
      </c>
      <c r="D86" t="s">
        <v>40</v>
      </c>
      <c r="E86" t="s">
        <v>40</v>
      </c>
      <c r="F86" t="s">
        <v>32</v>
      </c>
      <c r="G86" t="s">
        <v>32</v>
      </c>
      <c r="H86" t="s">
        <v>362</v>
      </c>
      <c r="I86" t="s">
        <v>510</v>
      </c>
      <c r="J86" s="3" t="s">
        <v>511</v>
      </c>
      <c r="K86" s="3"/>
      <c r="L86" s="3" t="s">
        <v>12</v>
      </c>
      <c r="M86" s="3" t="s">
        <v>278</v>
      </c>
      <c r="N86" s="4">
        <v>1200000</v>
      </c>
      <c r="O86" s="3" t="s">
        <v>443</v>
      </c>
      <c r="P86" s="3">
        <v>84000.000000000015</v>
      </c>
      <c r="Q86" s="4">
        <v>84000.000000000015</v>
      </c>
      <c r="R86" s="3" t="s">
        <v>376</v>
      </c>
      <c r="S86" s="3" t="s">
        <v>4</v>
      </c>
      <c r="T86" s="3" t="s">
        <v>4</v>
      </c>
      <c r="U86" s="3"/>
    </row>
    <row r="87" spans="1:21">
      <c r="A87">
        <v>3188</v>
      </c>
      <c r="B87" t="s">
        <v>10</v>
      </c>
      <c r="C87" t="s">
        <v>10</v>
      </c>
      <c r="D87" t="s">
        <v>40</v>
      </c>
      <c r="E87" t="s">
        <v>40</v>
      </c>
      <c r="F87" t="s">
        <v>32</v>
      </c>
      <c r="G87" t="s">
        <v>32</v>
      </c>
      <c r="H87" t="s">
        <v>362</v>
      </c>
      <c r="I87" t="s">
        <v>512</v>
      </c>
      <c r="J87" s="3" t="s">
        <v>513</v>
      </c>
      <c r="K87" s="3"/>
      <c r="L87" s="3" t="s">
        <v>12</v>
      </c>
      <c r="M87" s="3" t="s">
        <v>365</v>
      </c>
      <c r="N87" s="4">
        <v>2325000</v>
      </c>
      <c r="O87" s="3" t="s">
        <v>366</v>
      </c>
      <c r="P87" s="3">
        <v>162750.00000000003</v>
      </c>
      <c r="Q87" s="4">
        <v>162750.00000000003</v>
      </c>
      <c r="R87" s="3" t="s">
        <v>367</v>
      </c>
      <c r="S87" s="3" t="s">
        <v>4</v>
      </c>
      <c r="T87" s="3" t="s">
        <v>4</v>
      </c>
      <c r="U87" s="3"/>
    </row>
    <row r="88" spans="1:21">
      <c r="A88">
        <v>3286</v>
      </c>
      <c r="B88" t="s">
        <v>10</v>
      </c>
      <c r="C88" t="s">
        <v>10</v>
      </c>
      <c r="D88" t="s">
        <v>40</v>
      </c>
      <c r="E88" t="s">
        <v>40</v>
      </c>
      <c r="F88" t="s">
        <v>32</v>
      </c>
      <c r="G88" t="s">
        <v>32</v>
      </c>
      <c r="H88" t="s">
        <v>362</v>
      </c>
      <c r="I88" t="s">
        <v>514</v>
      </c>
      <c r="J88" s="3" t="s">
        <v>515</v>
      </c>
      <c r="K88" s="3"/>
      <c r="L88" s="3" t="s">
        <v>12</v>
      </c>
      <c r="M88" s="3" t="s">
        <v>498</v>
      </c>
      <c r="N88" s="4">
        <v>1700000</v>
      </c>
      <c r="O88" s="3" t="s">
        <v>516</v>
      </c>
      <c r="P88" s="3">
        <v>42000</v>
      </c>
      <c r="Q88" s="4">
        <v>42000</v>
      </c>
      <c r="R88" s="3" t="s">
        <v>301</v>
      </c>
      <c r="S88" s="3" t="s">
        <v>517</v>
      </c>
      <c r="T88" s="3" t="s">
        <v>22</v>
      </c>
      <c r="U88" s="3"/>
    </row>
    <row r="89" spans="1:21">
      <c r="A89">
        <v>3252</v>
      </c>
      <c r="B89" t="s">
        <v>10</v>
      </c>
      <c r="C89" t="s">
        <v>10</v>
      </c>
      <c r="D89" t="s">
        <v>40</v>
      </c>
      <c r="E89" t="s">
        <v>40</v>
      </c>
      <c r="F89" t="s">
        <v>32</v>
      </c>
      <c r="G89" t="s">
        <v>32</v>
      </c>
      <c r="H89" t="s">
        <v>362</v>
      </c>
      <c r="I89" t="s">
        <v>518</v>
      </c>
      <c r="J89" s="3" t="s">
        <v>519</v>
      </c>
      <c r="K89" s="3"/>
      <c r="L89" s="3" t="s">
        <v>12</v>
      </c>
      <c r="M89" s="3" t="s">
        <v>520</v>
      </c>
      <c r="N89" s="4">
        <v>675000</v>
      </c>
      <c r="O89" s="3" t="s">
        <v>521</v>
      </c>
      <c r="P89" s="3">
        <v>47250</v>
      </c>
      <c r="Q89" s="4">
        <v>47250</v>
      </c>
      <c r="R89" s="3" t="s">
        <v>522</v>
      </c>
      <c r="S89" s="3" t="s">
        <v>4</v>
      </c>
      <c r="T89" s="3" t="s">
        <v>4</v>
      </c>
      <c r="U89" s="3"/>
    </row>
    <row r="90" spans="1:21">
      <c r="A90">
        <v>3282</v>
      </c>
      <c r="B90" t="s">
        <v>10</v>
      </c>
      <c r="C90" t="s">
        <v>10</v>
      </c>
      <c r="D90" t="s">
        <v>40</v>
      </c>
      <c r="E90" t="s">
        <v>40</v>
      </c>
      <c r="F90" t="s">
        <v>32</v>
      </c>
      <c r="G90" t="s">
        <v>32</v>
      </c>
      <c r="H90" t="s">
        <v>362</v>
      </c>
      <c r="I90" t="s">
        <v>523</v>
      </c>
      <c r="J90" s="3" t="s">
        <v>524</v>
      </c>
      <c r="K90" s="3"/>
      <c r="L90" s="3" t="s">
        <v>12</v>
      </c>
      <c r="M90" s="3" t="s">
        <v>498</v>
      </c>
      <c r="N90" s="4">
        <v>1391000</v>
      </c>
      <c r="O90" s="3" t="s">
        <v>516</v>
      </c>
      <c r="P90" s="3">
        <v>97370</v>
      </c>
      <c r="Q90" s="4">
        <v>97370</v>
      </c>
      <c r="R90" s="3" t="s">
        <v>301</v>
      </c>
      <c r="S90" s="3" t="s">
        <v>4</v>
      </c>
      <c r="T90" s="3" t="s">
        <v>4</v>
      </c>
      <c r="U90" s="3"/>
    </row>
    <row r="91" spans="1:21">
      <c r="A91">
        <v>3373</v>
      </c>
      <c r="B91" t="s">
        <v>10</v>
      </c>
      <c r="C91" t="s">
        <v>10</v>
      </c>
      <c r="D91" t="s">
        <v>40</v>
      </c>
      <c r="E91" t="s">
        <v>40</v>
      </c>
      <c r="F91" t="s">
        <v>32</v>
      </c>
      <c r="G91" t="s">
        <v>32</v>
      </c>
      <c r="H91" t="s">
        <v>362</v>
      </c>
      <c r="I91" t="s">
        <v>525</v>
      </c>
      <c r="J91" s="3" t="s">
        <v>526</v>
      </c>
      <c r="K91" s="3"/>
      <c r="L91" s="3" t="s">
        <v>12</v>
      </c>
      <c r="M91" s="3" t="s">
        <v>527</v>
      </c>
      <c r="N91" s="4">
        <v>455004</v>
      </c>
      <c r="O91" s="3" t="s">
        <v>528</v>
      </c>
      <c r="P91" s="3">
        <v>25000</v>
      </c>
      <c r="Q91" s="4">
        <v>25000</v>
      </c>
      <c r="R91" s="3" t="s">
        <v>529</v>
      </c>
      <c r="S91" s="3" t="s">
        <v>4</v>
      </c>
      <c r="T91" s="3" t="s">
        <v>4</v>
      </c>
      <c r="U91" s="3"/>
    </row>
    <row r="92" spans="1:21">
      <c r="A92">
        <v>3110</v>
      </c>
      <c r="B92" t="s">
        <v>10</v>
      </c>
      <c r="C92" t="s">
        <v>10</v>
      </c>
      <c r="D92" t="s">
        <v>40</v>
      </c>
      <c r="E92" t="s">
        <v>40</v>
      </c>
      <c r="F92" t="s">
        <v>32</v>
      </c>
      <c r="G92" t="s">
        <v>32</v>
      </c>
      <c r="H92" t="s">
        <v>362</v>
      </c>
      <c r="I92" t="s">
        <v>530</v>
      </c>
      <c r="J92" s="3" t="s">
        <v>513</v>
      </c>
      <c r="K92" s="3"/>
      <c r="L92" s="3" t="s">
        <v>12</v>
      </c>
      <c r="M92" s="3" t="s">
        <v>278</v>
      </c>
      <c r="N92" s="4">
        <v>2400000</v>
      </c>
      <c r="O92" s="3" t="s">
        <v>443</v>
      </c>
      <c r="P92" s="3">
        <v>168000.00000000003</v>
      </c>
      <c r="Q92" s="4">
        <v>168000.00000000003</v>
      </c>
      <c r="R92" s="3" t="s">
        <v>376</v>
      </c>
      <c r="S92" s="3" t="s">
        <v>4</v>
      </c>
      <c r="T92" s="3" t="s">
        <v>4</v>
      </c>
      <c r="U92" s="3"/>
    </row>
    <row r="93" spans="1:21">
      <c r="A93">
        <v>3186</v>
      </c>
      <c r="B93" t="s">
        <v>10</v>
      </c>
      <c r="C93" t="s">
        <v>10</v>
      </c>
      <c r="D93" t="s">
        <v>40</v>
      </c>
      <c r="E93" t="s">
        <v>40</v>
      </c>
      <c r="F93" t="s">
        <v>32</v>
      </c>
      <c r="G93" t="s">
        <v>32</v>
      </c>
      <c r="H93" t="s">
        <v>362</v>
      </c>
      <c r="I93" t="s">
        <v>531</v>
      </c>
      <c r="J93" s="3" t="s">
        <v>532</v>
      </c>
      <c r="K93" s="3"/>
      <c r="L93" s="3" t="s">
        <v>12</v>
      </c>
      <c r="M93" s="3" t="s">
        <v>365</v>
      </c>
      <c r="N93" s="4">
        <v>625008</v>
      </c>
      <c r="O93" s="3" t="s">
        <v>366</v>
      </c>
      <c r="P93" s="3">
        <v>43750.560000000005</v>
      </c>
      <c r="Q93" s="4">
        <v>43750.560000000005</v>
      </c>
      <c r="R93" s="3" t="s">
        <v>367</v>
      </c>
      <c r="S93" s="3" t="s">
        <v>4</v>
      </c>
      <c r="T93" s="3" t="s">
        <v>4</v>
      </c>
      <c r="U93" s="3"/>
    </row>
    <row r="94" spans="1:21">
      <c r="A94">
        <v>3146</v>
      </c>
      <c r="B94" t="s">
        <v>10</v>
      </c>
      <c r="C94" t="s">
        <v>10</v>
      </c>
      <c r="D94" t="s">
        <v>40</v>
      </c>
      <c r="E94" t="s">
        <v>40</v>
      </c>
      <c r="F94" t="s">
        <v>32</v>
      </c>
      <c r="G94" t="s">
        <v>32</v>
      </c>
      <c r="H94" t="s">
        <v>362</v>
      </c>
      <c r="I94" t="s">
        <v>533</v>
      </c>
      <c r="J94" s="3" t="s">
        <v>534</v>
      </c>
      <c r="K94" s="3"/>
      <c r="L94" s="3" t="s">
        <v>12</v>
      </c>
      <c r="M94" s="3" t="s">
        <v>374</v>
      </c>
      <c r="N94" s="4">
        <v>1120000</v>
      </c>
      <c r="O94" s="3" t="s">
        <v>375</v>
      </c>
      <c r="P94" s="3">
        <v>78400.000000000015</v>
      </c>
      <c r="Q94" s="4">
        <v>78400.000000000015</v>
      </c>
      <c r="R94" s="3" t="s">
        <v>376</v>
      </c>
      <c r="S94" s="3" t="s">
        <v>4</v>
      </c>
      <c r="T94" s="3" t="s">
        <v>4</v>
      </c>
      <c r="U94" s="3"/>
    </row>
    <row r="95" spans="1:21">
      <c r="A95">
        <v>3254</v>
      </c>
      <c r="B95" t="s">
        <v>10</v>
      </c>
      <c r="C95" t="s">
        <v>10</v>
      </c>
      <c r="D95" t="s">
        <v>40</v>
      </c>
      <c r="E95" t="s">
        <v>40</v>
      </c>
      <c r="F95" t="s">
        <v>32</v>
      </c>
      <c r="G95" t="s">
        <v>32</v>
      </c>
      <c r="H95" t="s">
        <v>362</v>
      </c>
      <c r="I95" t="s">
        <v>535</v>
      </c>
      <c r="J95" s="3" t="s">
        <v>440</v>
      </c>
      <c r="K95" s="3"/>
      <c r="L95" s="3" t="s">
        <v>12</v>
      </c>
      <c r="M95" s="3" t="s">
        <v>536</v>
      </c>
      <c r="N95" s="4">
        <v>500000</v>
      </c>
      <c r="O95" s="3" t="s">
        <v>521</v>
      </c>
      <c r="P95" s="3">
        <v>44100</v>
      </c>
      <c r="Q95" s="4">
        <v>44100</v>
      </c>
      <c r="R95" s="3" t="s">
        <v>522</v>
      </c>
      <c r="S95" s="3" t="s">
        <v>4</v>
      </c>
      <c r="T95" s="3" t="s">
        <v>4</v>
      </c>
      <c r="U95" s="3"/>
    </row>
    <row r="96" spans="1:21">
      <c r="A96">
        <v>3217</v>
      </c>
      <c r="B96" t="s">
        <v>10</v>
      </c>
      <c r="C96" t="s">
        <v>10</v>
      </c>
      <c r="D96" t="s">
        <v>40</v>
      </c>
      <c r="E96" t="s">
        <v>40</v>
      </c>
      <c r="F96" t="s">
        <v>32</v>
      </c>
      <c r="G96" t="s">
        <v>32</v>
      </c>
      <c r="H96" t="s">
        <v>362</v>
      </c>
      <c r="I96" t="s">
        <v>537</v>
      </c>
      <c r="J96" s="3" t="s">
        <v>538</v>
      </c>
      <c r="K96" s="3"/>
      <c r="L96" s="3" t="s">
        <v>12</v>
      </c>
      <c r="M96" s="3" t="s">
        <v>181</v>
      </c>
      <c r="N96" s="4">
        <v>924996</v>
      </c>
      <c r="O96" s="3" t="s">
        <v>539</v>
      </c>
      <c r="P96" s="3">
        <v>0</v>
      </c>
      <c r="Q96" s="4">
        <v>0</v>
      </c>
      <c r="R96" s="3"/>
      <c r="S96" s="3" t="s">
        <v>21</v>
      </c>
      <c r="T96" s="3" t="s">
        <v>21</v>
      </c>
      <c r="U96" s="3"/>
    </row>
    <row r="97" spans="1:21">
      <c r="A97">
        <v>3144</v>
      </c>
      <c r="B97" t="s">
        <v>10</v>
      </c>
      <c r="C97" t="s">
        <v>10</v>
      </c>
      <c r="D97" t="s">
        <v>40</v>
      </c>
      <c r="E97" t="s">
        <v>40</v>
      </c>
      <c r="F97" t="s">
        <v>32</v>
      </c>
      <c r="G97" t="s">
        <v>32</v>
      </c>
      <c r="H97" t="s">
        <v>362</v>
      </c>
      <c r="I97" t="s">
        <v>540</v>
      </c>
      <c r="J97" s="3" t="s">
        <v>442</v>
      </c>
      <c r="K97" s="3"/>
      <c r="L97" s="3" t="s">
        <v>400</v>
      </c>
      <c r="M97" s="3" t="s">
        <v>374</v>
      </c>
      <c r="N97" s="4">
        <v>405000</v>
      </c>
      <c r="O97" s="3" t="s">
        <v>375</v>
      </c>
      <c r="P97" s="3">
        <v>25000</v>
      </c>
      <c r="Q97" s="4">
        <v>25000</v>
      </c>
      <c r="R97" s="3" t="s">
        <v>376</v>
      </c>
      <c r="S97" s="3" t="s">
        <v>4</v>
      </c>
      <c r="T97" s="3" t="s">
        <v>4</v>
      </c>
      <c r="U97" s="3"/>
    </row>
    <row r="98" spans="1:21">
      <c r="A98">
        <v>3141</v>
      </c>
      <c r="B98" t="s">
        <v>10</v>
      </c>
      <c r="C98" t="s">
        <v>10</v>
      </c>
      <c r="D98" t="s">
        <v>40</v>
      </c>
      <c r="E98" t="s">
        <v>40</v>
      </c>
      <c r="F98" t="s">
        <v>32</v>
      </c>
      <c r="G98" t="s">
        <v>32</v>
      </c>
      <c r="H98" t="s">
        <v>362</v>
      </c>
      <c r="I98" t="s">
        <v>541</v>
      </c>
      <c r="J98" s="3" t="s">
        <v>440</v>
      </c>
      <c r="K98" s="3"/>
      <c r="L98" s="3" t="s">
        <v>400</v>
      </c>
      <c r="M98" s="3" t="s">
        <v>374</v>
      </c>
      <c r="N98" s="4">
        <v>600000</v>
      </c>
      <c r="O98" s="3" t="s">
        <v>375</v>
      </c>
      <c r="P98" s="3">
        <v>42000.000000000007</v>
      </c>
      <c r="Q98" s="4">
        <v>42000.000000000007</v>
      </c>
      <c r="R98" s="3" t="s">
        <v>376</v>
      </c>
      <c r="S98" s="3" t="s">
        <v>4</v>
      </c>
      <c r="T98" s="3" t="s">
        <v>4</v>
      </c>
      <c r="U98" s="3"/>
    </row>
    <row r="99" spans="1:21">
      <c r="A99">
        <v>3165</v>
      </c>
      <c r="B99" t="s">
        <v>10</v>
      </c>
      <c r="C99" t="s">
        <v>10</v>
      </c>
      <c r="D99" t="s">
        <v>40</v>
      </c>
      <c r="E99" t="s">
        <v>40</v>
      </c>
      <c r="F99" t="s">
        <v>32</v>
      </c>
      <c r="G99" t="s">
        <v>32</v>
      </c>
      <c r="H99" t="s">
        <v>362</v>
      </c>
      <c r="I99" t="s">
        <v>542</v>
      </c>
      <c r="J99" s="3" t="s">
        <v>543</v>
      </c>
      <c r="K99" s="3"/>
      <c r="L99" s="3" t="s">
        <v>12</v>
      </c>
      <c r="M99" s="3" t="s">
        <v>544</v>
      </c>
      <c r="N99" s="4">
        <v>650000</v>
      </c>
      <c r="O99" s="3" t="s">
        <v>375</v>
      </c>
      <c r="P99" s="3">
        <v>45500.000000000007</v>
      </c>
      <c r="Q99" s="4">
        <v>45500.000000000007</v>
      </c>
      <c r="R99" s="3" t="s">
        <v>376</v>
      </c>
      <c r="S99" s="3" t="s">
        <v>4</v>
      </c>
      <c r="T99" s="3" t="s">
        <v>4</v>
      </c>
      <c r="U99" s="3"/>
    </row>
    <row r="100" spans="1:21">
      <c r="A100">
        <v>3250</v>
      </c>
      <c r="B100" t="s">
        <v>10</v>
      </c>
      <c r="C100" t="s">
        <v>10</v>
      </c>
      <c r="D100" t="s">
        <v>40</v>
      </c>
      <c r="E100" t="s">
        <v>40</v>
      </c>
      <c r="F100" t="s">
        <v>32</v>
      </c>
      <c r="G100" t="s">
        <v>32</v>
      </c>
      <c r="H100" t="s">
        <v>362</v>
      </c>
      <c r="I100" t="s">
        <v>545</v>
      </c>
      <c r="J100" s="3" t="s">
        <v>546</v>
      </c>
      <c r="K100" s="3"/>
      <c r="L100" s="3" t="s">
        <v>12</v>
      </c>
      <c r="M100" s="3" t="s">
        <v>283</v>
      </c>
      <c r="N100" s="4">
        <v>550000</v>
      </c>
      <c r="O100" s="3" t="s">
        <v>547</v>
      </c>
      <c r="P100" s="3">
        <v>38500.000000000007</v>
      </c>
      <c r="Q100" s="4">
        <v>38500.000000000007</v>
      </c>
      <c r="R100" s="3" t="s">
        <v>367</v>
      </c>
      <c r="S100" s="3" t="s">
        <v>4</v>
      </c>
      <c r="T100" s="3" t="s">
        <v>4</v>
      </c>
      <c r="U100" s="3"/>
    </row>
    <row r="101" spans="1:21">
      <c r="A101">
        <v>3444</v>
      </c>
      <c r="B101" t="s">
        <v>10</v>
      </c>
      <c r="C101" t="s">
        <v>10</v>
      </c>
      <c r="D101" t="s">
        <v>40</v>
      </c>
      <c r="E101" t="s">
        <v>40</v>
      </c>
      <c r="F101" t="s">
        <v>32</v>
      </c>
      <c r="G101" t="s">
        <v>32</v>
      </c>
      <c r="H101" t="s">
        <v>362</v>
      </c>
      <c r="I101" t="s">
        <v>548</v>
      </c>
      <c r="J101" s="3" t="s">
        <v>506</v>
      </c>
      <c r="K101" s="3"/>
      <c r="L101" s="3" t="s">
        <v>12</v>
      </c>
      <c r="M101" s="3" t="s">
        <v>243</v>
      </c>
      <c r="N101" s="4">
        <v>856000</v>
      </c>
      <c r="O101" s="3" t="s">
        <v>549</v>
      </c>
      <c r="P101" s="3">
        <v>59920</v>
      </c>
      <c r="Q101" s="4">
        <v>59920</v>
      </c>
      <c r="R101" s="3" t="s">
        <v>484</v>
      </c>
      <c r="S101" s="3" t="s">
        <v>4</v>
      </c>
      <c r="T101" s="3" t="s">
        <v>4</v>
      </c>
      <c r="U101" s="3"/>
    </row>
    <row r="102" spans="1:21">
      <c r="A102">
        <v>3283</v>
      </c>
      <c r="B102" t="s">
        <v>10</v>
      </c>
      <c r="C102" t="s">
        <v>10</v>
      </c>
      <c r="D102" t="s">
        <v>40</v>
      </c>
      <c r="E102" t="s">
        <v>40</v>
      </c>
      <c r="F102" t="s">
        <v>32</v>
      </c>
      <c r="G102" t="s">
        <v>32</v>
      </c>
      <c r="H102" t="s">
        <v>362</v>
      </c>
      <c r="I102" t="s">
        <v>550</v>
      </c>
      <c r="J102" s="3" t="s">
        <v>551</v>
      </c>
      <c r="K102" s="3"/>
      <c r="L102" s="3" t="s">
        <v>12</v>
      </c>
      <c r="M102" s="3" t="s">
        <v>498</v>
      </c>
      <c r="N102" s="4">
        <v>576000</v>
      </c>
      <c r="O102" s="3" t="s">
        <v>516</v>
      </c>
      <c r="P102" s="3">
        <v>40320</v>
      </c>
      <c r="Q102" s="4">
        <v>40320</v>
      </c>
      <c r="R102" s="3" t="s">
        <v>301</v>
      </c>
      <c r="S102" s="3" t="s">
        <v>4</v>
      </c>
      <c r="T102" s="3" t="s">
        <v>4</v>
      </c>
      <c r="U102" s="3"/>
    </row>
    <row r="103" spans="1:21">
      <c r="A103">
        <v>3224</v>
      </c>
      <c r="B103" t="s">
        <v>10</v>
      </c>
      <c r="C103" t="s">
        <v>10</v>
      </c>
      <c r="D103" t="s">
        <v>40</v>
      </c>
      <c r="E103" t="s">
        <v>40</v>
      </c>
      <c r="F103" t="s">
        <v>32</v>
      </c>
      <c r="G103" t="s">
        <v>32</v>
      </c>
      <c r="H103" t="s">
        <v>362</v>
      </c>
      <c r="I103" t="s">
        <v>552</v>
      </c>
      <c r="J103" s="3" t="s">
        <v>551</v>
      </c>
      <c r="K103" s="3"/>
      <c r="L103" s="3" t="s">
        <v>12</v>
      </c>
      <c r="M103" s="3" t="s">
        <v>553</v>
      </c>
      <c r="N103" s="4">
        <v>610008</v>
      </c>
      <c r="O103" s="3" t="s">
        <v>547</v>
      </c>
      <c r="P103" s="3">
        <v>42700.560000000005</v>
      </c>
      <c r="Q103" s="4">
        <v>42700.560000000005</v>
      </c>
      <c r="R103" s="3" t="s">
        <v>367</v>
      </c>
      <c r="S103" s="3" t="s">
        <v>4</v>
      </c>
      <c r="T103" s="3" t="s">
        <v>4</v>
      </c>
      <c r="U103" s="3"/>
    </row>
    <row r="104" spans="1:21">
      <c r="A104">
        <v>3319</v>
      </c>
      <c r="B104" t="s">
        <v>10</v>
      </c>
      <c r="C104" t="s">
        <v>10</v>
      </c>
      <c r="D104" t="s">
        <v>40</v>
      </c>
      <c r="E104" t="s">
        <v>40</v>
      </c>
      <c r="F104" t="s">
        <v>32</v>
      </c>
      <c r="G104" t="s">
        <v>32</v>
      </c>
      <c r="H104" t="s">
        <v>362</v>
      </c>
      <c r="I104" t="s">
        <v>554</v>
      </c>
      <c r="J104" s="3" t="s">
        <v>534</v>
      </c>
      <c r="K104" s="3"/>
      <c r="L104" s="3" t="s">
        <v>12</v>
      </c>
      <c r="M104" s="3" t="s">
        <v>555</v>
      </c>
      <c r="N104" s="4">
        <v>1100400</v>
      </c>
      <c r="O104" s="3" t="s">
        <v>556</v>
      </c>
      <c r="P104" s="3">
        <v>77028</v>
      </c>
      <c r="Q104" s="4">
        <v>77028</v>
      </c>
      <c r="R104" s="3" t="s">
        <v>557</v>
      </c>
      <c r="S104" s="3" t="s">
        <v>4</v>
      </c>
      <c r="T104" s="3" t="s">
        <v>4</v>
      </c>
      <c r="U104" s="3"/>
    </row>
    <row r="105" spans="1:21">
      <c r="A105">
        <v>3246</v>
      </c>
      <c r="B105" t="s">
        <v>10</v>
      </c>
      <c r="C105" t="s">
        <v>10</v>
      </c>
      <c r="D105" t="s">
        <v>40</v>
      </c>
      <c r="E105" t="s">
        <v>40</v>
      </c>
      <c r="F105" t="s">
        <v>32</v>
      </c>
      <c r="G105" t="s">
        <v>32</v>
      </c>
      <c r="H105" t="s">
        <v>362</v>
      </c>
      <c r="I105" t="s">
        <v>558</v>
      </c>
      <c r="J105" s="3" t="s">
        <v>538</v>
      </c>
      <c r="K105" s="3"/>
      <c r="L105" s="3" t="s">
        <v>12</v>
      </c>
      <c r="M105" s="3" t="s">
        <v>283</v>
      </c>
      <c r="N105" s="4">
        <v>1456800</v>
      </c>
      <c r="O105" s="3" t="s">
        <v>547</v>
      </c>
      <c r="P105" s="3">
        <v>101976.00000000001</v>
      </c>
      <c r="Q105" s="4">
        <v>101976.00000000001</v>
      </c>
      <c r="R105" s="3" t="s">
        <v>367</v>
      </c>
      <c r="S105" s="3" t="s">
        <v>4</v>
      </c>
      <c r="T105" s="3" t="s">
        <v>4</v>
      </c>
      <c r="U105" s="3"/>
    </row>
    <row r="106" spans="1:21">
      <c r="A106">
        <v>3181</v>
      </c>
      <c r="B106" t="s">
        <v>10</v>
      </c>
      <c r="C106" t="s">
        <v>10</v>
      </c>
      <c r="D106" t="s">
        <v>40</v>
      </c>
      <c r="E106" t="s">
        <v>40</v>
      </c>
      <c r="F106" t="s">
        <v>32</v>
      </c>
      <c r="G106" t="s">
        <v>32</v>
      </c>
      <c r="H106" t="s">
        <v>362</v>
      </c>
      <c r="I106" t="s">
        <v>559</v>
      </c>
      <c r="J106" s="3" t="s">
        <v>538</v>
      </c>
      <c r="K106" s="3"/>
      <c r="L106" s="3" t="s">
        <v>12</v>
      </c>
      <c r="M106" s="3" t="s">
        <v>560</v>
      </c>
      <c r="N106" s="4">
        <v>1325004</v>
      </c>
      <c r="O106" s="3" t="s">
        <v>366</v>
      </c>
      <c r="P106" s="3">
        <v>92750.280000000013</v>
      </c>
      <c r="Q106" s="4">
        <v>92750.280000000013</v>
      </c>
      <c r="R106" s="3" t="s">
        <v>367</v>
      </c>
      <c r="S106" s="3" t="s">
        <v>4</v>
      </c>
      <c r="T106" s="3" t="s">
        <v>4</v>
      </c>
      <c r="U106" s="3"/>
    </row>
    <row r="107" spans="1:21">
      <c r="A107">
        <v>3394</v>
      </c>
      <c r="B107" t="s">
        <v>10</v>
      </c>
      <c r="C107" t="s">
        <v>10</v>
      </c>
      <c r="D107" t="s">
        <v>40</v>
      </c>
      <c r="E107" t="s">
        <v>40</v>
      </c>
      <c r="F107" t="s">
        <v>32</v>
      </c>
      <c r="G107" t="s">
        <v>32</v>
      </c>
      <c r="H107" t="s">
        <v>275</v>
      </c>
      <c r="I107" t="s">
        <v>561</v>
      </c>
      <c r="J107" s="3" t="s">
        <v>562</v>
      </c>
      <c r="K107" s="3"/>
      <c r="L107" s="3" t="s">
        <v>327</v>
      </c>
      <c r="M107" s="3" t="s">
        <v>254</v>
      </c>
      <c r="N107" s="4" t="s">
        <v>563</v>
      </c>
      <c r="O107" s="3" t="s">
        <v>564</v>
      </c>
      <c r="P107" s="3" t="s">
        <v>565</v>
      </c>
      <c r="Q107" s="4">
        <v>140000</v>
      </c>
      <c r="R107" s="3" t="s">
        <v>566</v>
      </c>
      <c r="S107" s="3" t="s">
        <v>19</v>
      </c>
      <c r="T107" s="3" t="s">
        <v>19</v>
      </c>
      <c r="U107" s="3"/>
    </row>
    <row r="108" spans="1:21">
      <c r="A108">
        <v>3406</v>
      </c>
      <c r="B108" t="s">
        <v>10</v>
      </c>
      <c r="C108" t="s">
        <v>10</v>
      </c>
      <c r="D108" t="s">
        <v>40</v>
      </c>
      <c r="E108" t="s">
        <v>40</v>
      </c>
      <c r="F108" t="s">
        <v>32</v>
      </c>
      <c r="G108" t="s">
        <v>32</v>
      </c>
      <c r="H108" t="s">
        <v>275</v>
      </c>
      <c r="I108" t="s">
        <v>567</v>
      </c>
      <c r="J108" s="3" t="s">
        <v>568</v>
      </c>
      <c r="K108" s="3"/>
      <c r="L108" s="3" t="s">
        <v>569</v>
      </c>
      <c r="M108" s="3" t="s">
        <v>169</v>
      </c>
      <c r="N108" s="4">
        <v>2600000</v>
      </c>
      <c r="O108" s="3" t="s">
        <v>570</v>
      </c>
      <c r="P108" s="3" t="s">
        <v>571</v>
      </c>
      <c r="Q108" s="4">
        <v>208000</v>
      </c>
      <c r="R108" s="3" t="s">
        <v>361</v>
      </c>
      <c r="S108" s="3" t="s">
        <v>19</v>
      </c>
      <c r="T108" s="3" t="s">
        <v>19</v>
      </c>
      <c r="U108" s="3"/>
    </row>
    <row r="109" spans="1:21">
      <c r="A109">
        <v>3407</v>
      </c>
      <c r="B109" t="s">
        <v>10</v>
      </c>
      <c r="C109" t="s">
        <v>10</v>
      </c>
      <c r="D109" t="s">
        <v>40</v>
      </c>
      <c r="E109" t="s">
        <v>40</v>
      </c>
      <c r="F109" t="s">
        <v>32</v>
      </c>
      <c r="G109" t="s">
        <v>32</v>
      </c>
      <c r="H109" t="s">
        <v>572</v>
      </c>
      <c r="I109" t="s">
        <v>573</v>
      </c>
      <c r="J109" s="3" t="s">
        <v>574</v>
      </c>
      <c r="K109" s="3"/>
      <c r="L109" s="3" t="s">
        <v>449</v>
      </c>
      <c r="M109" s="3" t="s">
        <v>169</v>
      </c>
      <c r="N109" s="4" t="s">
        <v>575</v>
      </c>
      <c r="O109" s="3" t="s">
        <v>576</v>
      </c>
      <c r="P109" s="3">
        <v>37485.660000000003</v>
      </c>
      <c r="Q109" s="4">
        <v>37485.660000000003</v>
      </c>
      <c r="R109" s="3" t="s">
        <v>577</v>
      </c>
      <c r="S109" s="3" t="s">
        <v>4</v>
      </c>
      <c r="T109" s="3" t="s">
        <v>4</v>
      </c>
      <c r="U109" s="3"/>
    </row>
    <row r="110" spans="1:21">
      <c r="A110">
        <v>3443</v>
      </c>
      <c r="B110" t="s">
        <v>10</v>
      </c>
      <c r="C110" t="s">
        <v>10</v>
      </c>
      <c r="D110" t="s">
        <v>40</v>
      </c>
      <c r="E110" t="s">
        <v>40</v>
      </c>
      <c r="F110" t="s">
        <v>32</v>
      </c>
      <c r="G110" t="s">
        <v>32</v>
      </c>
      <c r="H110" t="s">
        <v>572</v>
      </c>
      <c r="I110" t="s">
        <v>578</v>
      </c>
      <c r="J110" s="3" t="s">
        <v>574</v>
      </c>
      <c r="K110" s="3"/>
      <c r="L110" s="3" t="s">
        <v>449</v>
      </c>
      <c r="M110" s="3" t="s">
        <v>243</v>
      </c>
      <c r="N110" s="4" t="s">
        <v>575</v>
      </c>
      <c r="O110" s="3" t="s">
        <v>491</v>
      </c>
      <c r="P110" s="3">
        <v>37485.660000000003</v>
      </c>
      <c r="Q110" s="4">
        <v>37485.660000000003</v>
      </c>
      <c r="R110" s="3" t="s">
        <v>484</v>
      </c>
      <c r="S110" s="3" t="s">
        <v>4</v>
      </c>
      <c r="T110" s="3" t="s">
        <v>4</v>
      </c>
      <c r="U110" s="3"/>
    </row>
    <row r="111" spans="1:21">
      <c r="A111">
        <v>3190</v>
      </c>
      <c r="B111" t="s">
        <v>10</v>
      </c>
      <c r="C111" t="s">
        <v>10</v>
      </c>
      <c r="D111" t="s">
        <v>40</v>
      </c>
      <c r="E111" t="s">
        <v>40</v>
      </c>
      <c r="F111" t="s">
        <v>46</v>
      </c>
      <c r="G111" t="s">
        <v>46</v>
      </c>
      <c r="H111" t="s">
        <v>362</v>
      </c>
      <c r="I111" t="s">
        <v>579</v>
      </c>
      <c r="J111" s="3" t="s">
        <v>580</v>
      </c>
      <c r="K111" s="3"/>
      <c r="L111" s="3" t="s">
        <v>12</v>
      </c>
      <c r="M111" s="3" t="s">
        <v>581</v>
      </c>
      <c r="N111" s="4">
        <v>985000</v>
      </c>
      <c r="O111" s="3" t="s">
        <v>366</v>
      </c>
      <c r="P111" s="3">
        <v>68950</v>
      </c>
      <c r="Q111" s="4">
        <v>68950</v>
      </c>
      <c r="R111" s="3" t="s">
        <v>367</v>
      </c>
      <c r="S111" s="3" t="s">
        <v>4</v>
      </c>
      <c r="T111" s="3" t="s">
        <v>4</v>
      </c>
      <c r="U111" s="3"/>
    </row>
    <row r="112" spans="1:21">
      <c r="A112">
        <v>3327</v>
      </c>
      <c r="B112" t="s">
        <v>10</v>
      </c>
      <c r="C112" t="s">
        <v>10</v>
      </c>
      <c r="D112" t="s">
        <v>40</v>
      </c>
      <c r="E112" t="s">
        <v>40</v>
      </c>
      <c r="F112" t="s">
        <v>46</v>
      </c>
      <c r="G112" t="s">
        <v>46</v>
      </c>
      <c r="H112" t="s">
        <v>362</v>
      </c>
      <c r="I112" t="s">
        <v>582</v>
      </c>
      <c r="J112" s="3" t="s">
        <v>526</v>
      </c>
      <c r="K112" s="3"/>
      <c r="L112" s="3" t="s">
        <v>12</v>
      </c>
      <c r="M112" s="3" t="s">
        <v>305</v>
      </c>
      <c r="N112" s="4">
        <v>500004</v>
      </c>
      <c r="O112" s="3" t="s">
        <v>583</v>
      </c>
      <c r="P112" s="3">
        <v>35000.28</v>
      </c>
      <c r="Q112" s="4">
        <v>35000.28</v>
      </c>
      <c r="R112" s="3" t="s">
        <v>495</v>
      </c>
      <c r="S112" s="3" t="s">
        <v>4</v>
      </c>
      <c r="T112" s="3" t="s">
        <v>4</v>
      </c>
      <c r="U112" s="3"/>
    </row>
    <row r="113" spans="1:21">
      <c r="A113">
        <v>3218</v>
      </c>
      <c r="B113" t="s">
        <v>10</v>
      </c>
      <c r="C113" t="s">
        <v>10</v>
      </c>
      <c r="D113" t="s">
        <v>40</v>
      </c>
      <c r="E113" t="s">
        <v>40</v>
      </c>
      <c r="F113" t="s">
        <v>46</v>
      </c>
      <c r="G113" t="s">
        <v>46</v>
      </c>
      <c r="H113" t="s">
        <v>362</v>
      </c>
      <c r="I113" t="s">
        <v>584</v>
      </c>
      <c r="J113" s="3" t="s">
        <v>585</v>
      </c>
      <c r="K113" s="3"/>
      <c r="L113" s="3" t="s">
        <v>12</v>
      </c>
      <c r="M113" s="3" t="s">
        <v>181</v>
      </c>
      <c r="N113" s="4">
        <v>425000</v>
      </c>
      <c r="O113" s="3" t="s">
        <v>547</v>
      </c>
      <c r="P113" s="3">
        <v>25000</v>
      </c>
      <c r="Q113" s="4">
        <v>25000</v>
      </c>
      <c r="R113" s="3" t="s">
        <v>367</v>
      </c>
      <c r="S113" s="3" t="s">
        <v>4</v>
      </c>
      <c r="T113" s="3" t="s">
        <v>4</v>
      </c>
      <c r="U113" s="3"/>
    </row>
    <row r="114" spans="1:21">
      <c r="A114">
        <v>3528</v>
      </c>
      <c r="B114" t="s">
        <v>10</v>
      </c>
      <c r="C114" t="s">
        <v>10</v>
      </c>
      <c r="D114" t="s">
        <v>40</v>
      </c>
      <c r="E114" t="s">
        <v>40</v>
      </c>
      <c r="F114" t="s">
        <v>46</v>
      </c>
      <c r="G114" t="s">
        <v>46</v>
      </c>
      <c r="H114" t="s">
        <v>487</v>
      </c>
      <c r="I114" t="s">
        <v>586</v>
      </c>
      <c r="J114" s="3" t="s">
        <v>574</v>
      </c>
      <c r="K114" s="3"/>
      <c r="L114" s="3" t="s">
        <v>449</v>
      </c>
      <c r="M114" s="3" t="s">
        <v>150</v>
      </c>
      <c r="N114" s="4" t="s">
        <v>587</v>
      </c>
      <c r="O114" s="3" t="s">
        <v>588</v>
      </c>
      <c r="P114" s="3">
        <v>49980.75</v>
      </c>
      <c r="Q114" s="4">
        <v>49980.75</v>
      </c>
      <c r="R114" s="3" t="s">
        <v>295</v>
      </c>
      <c r="S114" s="3" t="s">
        <v>19</v>
      </c>
      <c r="T114" s="3" t="s">
        <v>19</v>
      </c>
      <c r="U114" s="3"/>
    </row>
    <row r="115" spans="1:21">
      <c r="A115">
        <v>3533</v>
      </c>
      <c r="B115" t="s">
        <v>10</v>
      </c>
      <c r="C115" t="s">
        <v>10</v>
      </c>
      <c r="D115" t="s">
        <v>40</v>
      </c>
      <c r="E115" t="s">
        <v>40</v>
      </c>
      <c r="F115" t="s">
        <v>47</v>
      </c>
      <c r="G115" t="s">
        <v>47</v>
      </c>
      <c r="H115" t="s">
        <v>397</v>
      </c>
      <c r="I115" t="s">
        <v>589</v>
      </c>
      <c r="J115" s="3" t="s">
        <v>590</v>
      </c>
      <c r="K115" s="3"/>
      <c r="L115" s="3" t="s">
        <v>591</v>
      </c>
      <c r="M115" s="3" t="s">
        <v>150</v>
      </c>
      <c r="N115" s="4">
        <v>1200000</v>
      </c>
      <c r="O115" s="3"/>
      <c r="P115" s="3">
        <v>60000</v>
      </c>
      <c r="Q115" s="4">
        <v>60000</v>
      </c>
      <c r="R115" s="3"/>
      <c r="S115" s="3" t="s">
        <v>20</v>
      </c>
      <c r="T115" s="3" t="s">
        <v>20</v>
      </c>
      <c r="U115" s="3"/>
    </row>
    <row r="116" spans="1:21">
      <c r="A116">
        <v>3315</v>
      </c>
      <c r="B116" t="s">
        <v>10</v>
      </c>
      <c r="C116" t="s">
        <v>10</v>
      </c>
      <c r="D116" t="s">
        <v>40</v>
      </c>
      <c r="E116" t="s">
        <v>40</v>
      </c>
      <c r="F116" t="s">
        <v>47</v>
      </c>
      <c r="G116" t="s">
        <v>47</v>
      </c>
      <c r="H116" t="s">
        <v>397</v>
      </c>
      <c r="I116" t="s">
        <v>592</v>
      </c>
      <c r="J116" s="3" t="s">
        <v>593</v>
      </c>
      <c r="K116" s="3"/>
      <c r="L116" s="3" t="s">
        <v>127</v>
      </c>
      <c r="M116" s="3" t="s">
        <v>401</v>
      </c>
      <c r="N116" s="4">
        <v>1214345</v>
      </c>
      <c r="O116" s="3" t="s">
        <v>402</v>
      </c>
      <c r="P116" s="3" t="s">
        <v>594</v>
      </c>
      <c r="Q116" s="4">
        <v>101154.94</v>
      </c>
      <c r="R116" s="3" t="s">
        <v>403</v>
      </c>
      <c r="S116" s="3" t="s">
        <v>4</v>
      </c>
      <c r="T116" s="3" t="s">
        <v>4</v>
      </c>
      <c r="U116" s="3"/>
    </row>
    <row r="117" spans="1:21">
      <c r="A117">
        <v>3531</v>
      </c>
      <c r="B117" t="s">
        <v>10</v>
      </c>
      <c r="C117" t="s">
        <v>10</v>
      </c>
      <c r="D117" t="s">
        <v>40</v>
      </c>
      <c r="E117" t="s">
        <v>40</v>
      </c>
      <c r="F117" t="s">
        <v>47</v>
      </c>
      <c r="G117" t="s">
        <v>47</v>
      </c>
      <c r="H117" t="s">
        <v>397</v>
      </c>
      <c r="I117" t="s">
        <v>595</v>
      </c>
      <c r="J117" s="3" t="s">
        <v>593</v>
      </c>
      <c r="K117" s="3"/>
      <c r="L117" s="3" t="s">
        <v>8</v>
      </c>
      <c r="M117" s="3" t="s">
        <v>150</v>
      </c>
      <c r="N117" s="4">
        <v>1748000</v>
      </c>
      <c r="O117" s="3"/>
      <c r="P117" s="3">
        <v>100000</v>
      </c>
      <c r="Q117" s="4">
        <v>100000</v>
      </c>
      <c r="R117" s="3"/>
      <c r="S117" s="3" t="s">
        <v>20</v>
      </c>
      <c r="T117" s="3" t="s">
        <v>20</v>
      </c>
      <c r="U117" s="3"/>
    </row>
    <row r="118" spans="1:21">
      <c r="A118">
        <v>3530</v>
      </c>
      <c r="B118" t="s">
        <v>10</v>
      </c>
      <c r="C118" t="s">
        <v>10</v>
      </c>
      <c r="D118" t="s">
        <v>40</v>
      </c>
      <c r="E118" t="s">
        <v>40</v>
      </c>
      <c r="F118" t="s">
        <v>47</v>
      </c>
      <c r="G118" t="s">
        <v>47</v>
      </c>
      <c r="H118" t="s">
        <v>397</v>
      </c>
      <c r="I118" t="s">
        <v>596</v>
      </c>
      <c r="J118" s="3" t="s">
        <v>593</v>
      </c>
      <c r="K118" s="3"/>
      <c r="L118" s="3" t="s">
        <v>597</v>
      </c>
      <c r="M118" s="3" t="s">
        <v>150</v>
      </c>
      <c r="N118" s="4">
        <v>1800000</v>
      </c>
      <c r="O118" s="3"/>
      <c r="P118" s="3">
        <v>100000</v>
      </c>
      <c r="Q118" s="4">
        <v>100000</v>
      </c>
      <c r="R118" s="3"/>
      <c r="S118" s="3" t="s">
        <v>20</v>
      </c>
      <c r="T118" s="3" t="s">
        <v>20</v>
      </c>
      <c r="U118" s="3"/>
    </row>
    <row r="119" spans="1:21">
      <c r="A119">
        <v>3132</v>
      </c>
      <c r="B119" t="s">
        <v>10</v>
      </c>
      <c r="C119" t="s">
        <v>10</v>
      </c>
      <c r="D119" t="s">
        <v>40</v>
      </c>
      <c r="E119" t="s">
        <v>40</v>
      </c>
      <c r="F119" t="s">
        <v>47</v>
      </c>
      <c r="G119" t="s">
        <v>47</v>
      </c>
      <c r="H119" t="s">
        <v>397</v>
      </c>
      <c r="I119" t="s">
        <v>598</v>
      </c>
      <c r="J119" s="3" t="s">
        <v>599</v>
      </c>
      <c r="K119" s="3"/>
      <c r="L119" s="3" t="s">
        <v>600</v>
      </c>
      <c r="M119" s="3" t="s">
        <v>423</v>
      </c>
      <c r="N119" s="4">
        <v>1145687</v>
      </c>
      <c r="O119" s="3" t="s">
        <v>424</v>
      </c>
      <c r="P119" s="3">
        <v>95435.727100000004</v>
      </c>
      <c r="Q119" s="4">
        <v>95435.727100000004</v>
      </c>
      <c r="R119" s="3" t="s">
        <v>425</v>
      </c>
      <c r="S119" s="3" t="s">
        <v>4</v>
      </c>
      <c r="T119" s="3" t="s">
        <v>4</v>
      </c>
      <c r="U119" s="3"/>
    </row>
    <row r="120" spans="1:21">
      <c r="A120">
        <v>3021</v>
      </c>
      <c r="B120" t="s">
        <v>10</v>
      </c>
      <c r="C120" t="s">
        <v>10</v>
      </c>
      <c r="D120" t="s">
        <v>40</v>
      </c>
      <c r="E120" t="s">
        <v>40</v>
      </c>
      <c r="F120" t="s">
        <v>47</v>
      </c>
      <c r="G120" t="s">
        <v>47</v>
      </c>
      <c r="H120" t="s">
        <v>397</v>
      </c>
      <c r="I120" t="s">
        <v>601</v>
      </c>
      <c r="J120" s="3" t="s">
        <v>590</v>
      </c>
      <c r="K120" s="3"/>
      <c r="L120" s="3" t="s">
        <v>602</v>
      </c>
      <c r="M120" s="3" t="s">
        <v>428</v>
      </c>
      <c r="N120" s="4">
        <v>1115301</v>
      </c>
      <c r="O120" s="3" t="s">
        <v>429</v>
      </c>
      <c r="P120" s="3">
        <v>92904.573300000004</v>
      </c>
      <c r="Q120" s="4">
        <v>92904.573300000004</v>
      </c>
      <c r="R120" s="3" t="s">
        <v>430</v>
      </c>
      <c r="S120" s="3" t="s">
        <v>4</v>
      </c>
      <c r="T120" s="3" t="s">
        <v>4</v>
      </c>
      <c r="U120" s="3"/>
    </row>
    <row r="121" spans="1:21">
      <c r="A121">
        <v>3137</v>
      </c>
      <c r="B121" t="s">
        <v>10</v>
      </c>
      <c r="C121" t="s">
        <v>10</v>
      </c>
      <c r="D121" t="s">
        <v>40</v>
      </c>
      <c r="E121" t="s">
        <v>40</v>
      </c>
      <c r="F121" t="s">
        <v>47</v>
      </c>
      <c r="G121" t="s">
        <v>47</v>
      </c>
      <c r="H121" t="s">
        <v>397</v>
      </c>
      <c r="I121" t="s">
        <v>603</v>
      </c>
      <c r="J121" s="3" t="s">
        <v>599</v>
      </c>
      <c r="K121" s="3"/>
      <c r="L121" s="3" t="s">
        <v>604</v>
      </c>
      <c r="M121" s="3" t="s">
        <v>374</v>
      </c>
      <c r="N121" s="4">
        <v>1494374</v>
      </c>
      <c r="O121" s="3" t="s">
        <v>424</v>
      </c>
      <c r="P121" s="3">
        <v>124481.3542</v>
      </c>
      <c r="Q121" s="4">
        <v>124481.3542</v>
      </c>
      <c r="R121" s="3" t="s">
        <v>425</v>
      </c>
      <c r="S121" s="3" t="s">
        <v>4</v>
      </c>
      <c r="T121" s="3" t="s">
        <v>4</v>
      </c>
      <c r="U121" s="3"/>
    </row>
    <row r="122" spans="1:21">
      <c r="A122">
        <v>3273</v>
      </c>
      <c r="B122" t="s">
        <v>10</v>
      </c>
      <c r="C122" t="s">
        <v>10</v>
      </c>
      <c r="D122" t="s">
        <v>40</v>
      </c>
      <c r="E122" t="s">
        <v>40</v>
      </c>
      <c r="F122" t="s">
        <v>47</v>
      </c>
      <c r="G122" t="s">
        <v>47</v>
      </c>
      <c r="H122" t="s">
        <v>362</v>
      </c>
      <c r="I122" t="s">
        <v>605</v>
      </c>
      <c r="J122" s="3" t="s">
        <v>551</v>
      </c>
      <c r="K122" s="3"/>
      <c r="L122" s="3" t="s">
        <v>12</v>
      </c>
      <c r="M122" s="3" t="s">
        <v>606</v>
      </c>
      <c r="N122" s="4">
        <v>512000</v>
      </c>
      <c r="O122" s="3" t="s">
        <v>607</v>
      </c>
      <c r="P122" s="3">
        <v>35853</v>
      </c>
      <c r="Q122" s="4">
        <v>35853</v>
      </c>
      <c r="R122" s="3" t="s">
        <v>608</v>
      </c>
      <c r="S122" s="3" t="s">
        <v>4</v>
      </c>
      <c r="T122" s="3" t="s">
        <v>4</v>
      </c>
      <c r="U122" s="3"/>
    </row>
    <row r="123" spans="1:21">
      <c r="A123">
        <v>3117</v>
      </c>
      <c r="B123" t="s">
        <v>10</v>
      </c>
      <c r="C123" t="s">
        <v>10</v>
      </c>
      <c r="D123" t="s">
        <v>40</v>
      </c>
      <c r="E123" t="s">
        <v>40</v>
      </c>
      <c r="F123" t="s">
        <v>47</v>
      </c>
      <c r="G123" t="s">
        <v>47</v>
      </c>
      <c r="H123" t="s">
        <v>362</v>
      </c>
      <c r="I123" t="s">
        <v>609</v>
      </c>
      <c r="J123" s="3" t="s">
        <v>610</v>
      </c>
      <c r="K123" s="3"/>
      <c r="L123" s="3" t="s">
        <v>400</v>
      </c>
      <c r="M123" s="3" t="s">
        <v>278</v>
      </c>
      <c r="N123" s="4">
        <v>610000</v>
      </c>
      <c r="O123" s="3" t="s">
        <v>443</v>
      </c>
      <c r="P123" s="3">
        <v>42700.000000000007</v>
      </c>
      <c r="Q123" s="4">
        <v>42700.000000000007</v>
      </c>
      <c r="R123" s="3" t="s">
        <v>376</v>
      </c>
      <c r="S123" s="3" t="s">
        <v>4</v>
      </c>
      <c r="T123" s="3" t="s">
        <v>4</v>
      </c>
      <c r="U123" s="3"/>
    </row>
    <row r="124" spans="1:21">
      <c r="A124">
        <v>3111</v>
      </c>
      <c r="B124" t="s">
        <v>10</v>
      </c>
      <c r="C124" t="s">
        <v>10</v>
      </c>
      <c r="D124" t="s">
        <v>40</v>
      </c>
      <c r="E124" t="s">
        <v>40</v>
      </c>
      <c r="F124" t="s">
        <v>47</v>
      </c>
      <c r="G124" t="s">
        <v>47</v>
      </c>
      <c r="H124" t="s">
        <v>362</v>
      </c>
      <c r="I124" t="s">
        <v>611</v>
      </c>
      <c r="J124" s="3" t="s">
        <v>610</v>
      </c>
      <c r="K124" s="3"/>
      <c r="L124" s="3" t="s">
        <v>400</v>
      </c>
      <c r="M124" s="3" t="s">
        <v>278</v>
      </c>
      <c r="N124" s="4">
        <v>585000</v>
      </c>
      <c r="O124" s="3" t="s">
        <v>443</v>
      </c>
      <c r="P124" s="3">
        <v>40950.000000000007</v>
      </c>
      <c r="Q124" s="4">
        <v>40950.000000000007</v>
      </c>
      <c r="R124" s="3" t="s">
        <v>376</v>
      </c>
      <c r="S124" s="3" t="s">
        <v>4</v>
      </c>
      <c r="T124" s="3" t="s">
        <v>4</v>
      </c>
      <c r="U124" s="3"/>
    </row>
    <row r="125" spans="1:21">
      <c r="A125">
        <v>3221</v>
      </c>
      <c r="B125" t="s">
        <v>10</v>
      </c>
      <c r="C125" t="s">
        <v>10</v>
      </c>
      <c r="D125" t="s">
        <v>40</v>
      </c>
      <c r="E125" t="s">
        <v>40</v>
      </c>
      <c r="F125" t="s">
        <v>47</v>
      </c>
      <c r="G125" t="s">
        <v>47</v>
      </c>
      <c r="H125" t="s">
        <v>362</v>
      </c>
      <c r="I125" t="s">
        <v>612</v>
      </c>
      <c r="J125" s="3" t="s">
        <v>524</v>
      </c>
      <c r="K125" s="3"/>
      <c r="L125" s="3" t="s">
        <v>12</v>
      </c>
      <c r="M125" s="3" t="s">
        <v>613</v>
      </c>
      <c r="N125" s="4">
        <v>1570008</v>
      </c>
      <c r="O125" s="3" t="s">
        <v>547</v>
      </c>
      <c r="P125" s="3">
        <v>109900.56000000001</v>
      </c>
      <c r="Q125" s="4">
        <v>109900.56000000001</v>
      </c>
      <c r="R125" s="3" t="s">
        <v>367</v>
      </c>
      <c r="S125" s="3" t="s">
        <v>4</v>
      </c>
      <c r="T125" s="3" t="s">
        <v>4</v>
      </c>
      <c r="U125" s="3"/>
    </row>
    <row r="126" spans="1:21">
      <c r="A126">
        <v>3112</v>
      </c>
      <c r="B126" t="s">
        <v>10</v>
      </c>
      <c r="C126" t="s">
        <v>10</v>
      </c>
      <c r="D126" t="s">
        <v>40</v>
      </c>
      <c r="E126" t="s">
        <v>40</v>
      </c>
      <c r="F126" t="s">
        <v>47</v>
      </c>
      <c r="G126" t="s">
        <v>47</v>
      </c>
      <c r="H126" t="s">
        <v>362</v>
      </c>
      <c r="I126" t="s">
        <v>614</v>
      </c>
      <c r="J126" s="3" t="s">
        <v>615</v>
      </c>
      <c r="K126" s="3"/>
      <c r="L126" s="3" t="s">
        <v>400</v>
      </c>
      <c r="M126" s="3" t="s">
        <v>278</v>
      </c>
      <c r="N126" s="4">
        <v>450000</v>
      </c>
      <c r="O126" s="3" t="s">
        <v>443</v>
      </c>
      <c r="P126" s="3">
        <v>25000</v>
      </c>
      <c r="Q126" s="4">
        <v>25000</v>
      </c>
      <c r="R126" s="3" t="s">
        <v>376</v>
      </c>
      <c r="S126" s="3" t="s">
        <v>4</v>
      </c>
      <c r="T126" s="3" t="s">
        <v>4</v>
      </c>
      <c r="U126" s="3"/>
    </row>
    <row r="127" spans="1:21">
      <c r="A127">
        <v>3187</v>
      </c>
      <c r="B127" t="s">
        <v>10</v>
      </c>
      <c r="C127" t="s">
        <v>10</v>
      </c>
      <c r="D127" t="s">
        <v>40</v>
      </c>
      <c r="E127" t="s">
        <v>40</v>
      </c>
      <c r="F127" t="s">
        <v>47</v>
      </c>
      <c r="G127" t="s">
        <v>47</v>
      </c>
      <c r="H127" t="s">
        <v>362</v>
      </c>
      <c r="I127" t="s">
        <v>616</v>
      </c>
      <c r="J127" s="3" t="s">
        <v>617</v>
      </c>
      <c r="K127" s="3"/>
      <c r="L127" s="3" t="s">
        <v>12</v>
      </c>
      <c r="M127" s="3" t="s">
        <v>365</v>
      </c>
      <c r="N127" s="4">
        <v>1050000</v>
      </c>
      <c r="O127" s="3" t="s">
        <v>366</v>
      </c>
      <c r="P127" s="3">
        <v>73500</v>
      </c>
      <c r="Q127" s="4">
        <v>73500</v>
      </c>
      <c r="R127" s="3" t="s">
        <v>367</v>
      </c>
      <c r="S127" s="3" t="s">
        <v>4</v>
      </c>
      <c r="T127" s="3" t="s">
        <v>4</v>
      </c>
      <c r="U127" s="3"/>
    </row>
    <row r="128" spans="1:21">
      <c r="A128">
        <v>3113</v>
      </c>
      <c r="B128" t="s">
        <v>10</v>
      </c>
      <c r="C128" t="s">
        <v>10</v>
      </c>
      <c r="D128" t="s">
        <v>40</v>
      </c>
      <c r="E128" t="s">
        <v>40</v>
      </c>
      <c r="F128" t="s">
        <v>47</v>
      </c>
      <c r="G128" t="s">
        <v>47</v>
      </c>
      <c r="H128" t="s">
        <v>362</v>
      </c>
      <c r="I128" t="s">
        <v>618</v>
      </c>
      <c r="J128" s="3" t="s">
        <v>610</v>
      </c>
      <c r="K128" s="3"/>
      <c r="L128" s="3" t="s">
        <v>400</v>
      </c>
      <c r="M128" s="3" t="s">
        <v>278</v>
      </c>
      <c r="N128" s="4">
        <v>524000</v>
      </c>
      <c r="O128" s="3" t="s">
        <v>443</v>
      </c>
      <c r="P128" s="3">
        <v>36680</v>
      </c>
      <c r="Q128" s="4">
        <v>36680</v>
      </c>
      <c r="R128" s="3" t="s">
        <v>376</v>
      </c>
      <c r="S128" s="3" t="s">
        <v>517</v>
      </c>
      <c r="T128" s="3" t="s">
        <v>22</v>
      </c>
      <c r="U128" s="3"/>
    </row>
    <row r="129" spans="1:21">
      <c r="A129">
        <v>3272</v>
      </c>
      <c r="B129" t="s">
        <v>10</v>
      </c>
      <c r="C129" t="s">
        <v>10</v>
      </c>
      <c r="D129" t="s">
        <v>40</v>
      </c>
      <c r="E129" t="s">
        <v>40</v>
      </c>
      <c r="F129" t="s">
        <v>47</v>
      </c>
      <c r="G129" t="s">
        <v>47</v>
      </c>
      <c r="H129" t="s">
        <v>362</v>
      </c>
      <c r="I129" t="s">
        <v>619</v>
      </c>
      <c r="J129" s="3" t="s">
        <v>620</v>
      </c>
      <c r="K129" s="3"/>
      <c r="L129" s="3" t="s">
        <v>12</v>
      </c>
      <c r="M129" s="3" t="s">
        <v>299</v>
      </c>
      <c r="N129" s="4">
        <v>700000</v>
      </c>
      <c r="O129" s="3" t="s">
        <v>607</v>
      </c>
      <c r="P129" s="3">
        <v>49000</v>
      </c>
      <c r="Q129" s="4">
        <v>49000</v>
      </c>
      <c r="R129" s="3" t="s">
        <v>608</v>
      </c>
      <c r="S129" s="3" t="s">
        <v>4</v>
      </c>
      <c r="T129" s="3" t="s">
        <v>4</v>
      </c>
      <c r="U129" s="3"/>
    </row>
    <row r="130" spans="1:21">
      <c r="A130">
        <v>3189</v>
      </c>
      <c r="B130" t="s">
        <v>10</v>
      </c>
      <c r="C130" t="s">
        <v>10</v>
      </c>
      <c r="D130" t="s">
        <v>40</v>
      </c>
      <c r="E130" t="s">
        <v>40</v>
      </c>
      <c r="F130" t="s">
        <v>47</v>
      </c>
      <c r="G130" t="s">
        <v>47</v>
      </c>
      <c r="H130" t="s">
        <v>362</v>
      </c>
      <c r="I130" t="s">
        <v>621</v>
      </c>
      <c r="J130" s="3" t="s">
        <v>620</v>
      </c>
      <c r="K130" s="3"/>
      <c r="L130" s="3" t="s">
        <v>400</v>
      </c>
      <c r="M130" s="3" t="s">
        <v>581</v>
      </c>
      <c r="N130" s="4">
        <v>1449996</v>
      </c>
      <c r="O130" s="3" t="s">
        <v>366</v>
      </c>
      <c r="P130" s="3">
        <v>101499.72000000002</v>
      </c>
      <c r="Q130" s="4">
        <v>101499.72000000002</v>
      </c>
      <c r="R130" s="3" t="s">
        <v>367</v>
      </c>
      <c r="S130" s="3" t="s">
        <v>4</v>
      </c>
      <c r="T130" s="3" t="s">
        <v>4</v>
      </c>
      <c r="U130" s="3"/>
    </row>
    <row r="131" spans="1:21">
      <c r="A131">
        <v>3317</v>
      </c>
      <c r="B131" t="s">
        <v>10</v>
      </c>
      <c r="C131" t="s">
        <v>10</v>
      </c>
      <c r="D131" t="s">
        <v>40</v>
      </c>
      <c r="E131" t="s">
        <v>40</v>
      </c>
      <c r="F131" t="s">
        <v>47</v>
      </c>
      <c r="G131" t="s">
        <v>47</v>
      </c>
      <c r="H131" t="s">
        <v>362</v>
      </c>
      <c r="I131" t="s">
        <v>622</v>
      </c>
      <c r="J131" s="3" t="s">
        <v>623</v>
      </c>
      <c r="K131" s="3"/>
      <c r="L131" s="3" t="s">
        <v>12</v>
      </c>
      <c r="M131" s="3" t="s">
        <v>624</v>
      </c>
      <c r="N131" s="4">
        <v>1950000</v>
      </c>
      <c r="O131" s="3" t="s">
        <v>556</v>
      </c>
      <c r="P131" s="3">
        <v>136500</v>
      </c>
      <c r="Q131" s="4">
        <v>136500</v>
      </c>
      <c r="R131" s="3" t="s">
        <v>557</v>
      </c>
      <c r="S131" s="3" t="s">
        <v>4</v>
      </c>
      <c r="T131" s="3" t="s">
        <v>4</v>
      </c>
      <c r="U131" s="3"/>
    </row>
    <row r="132" spans="1:21">
      <c r="A132">
        <v>3225</v>
      </c>
      <c r="B132" t="s">
        <v>10</v>
      </c>
      <c r="C132" t="s">
        <v>10</v>
      </c>
      <c r="D132" t="s">
        <v>40</v>
      </c>
      <c r="E132" t="s">
        <v>40</v>
      </c>
      <c r="F132" t="s">
        <v>47</v>
      </c>
      <c r="G132" t="s">
        <v>47</v>
      </c>
      <c r="H132" t="s">
        <v>362</v>
      </c>
      <c r="I132" t="s">
        <v>625</v>
      </c>
      <c r="J132" s="3" t="s">
        <v>626</v>
      </c>
      <c r="K132" s="3"/>
      <c r="L132" s="3" t="s">
        <v>400</v>
      </c>
      <c r="M132" s="3" t="s">
        <v>553</v>
      </c>
      <c r="N132" s="4">
        <v>770000</v>
      </c>
      <c r="O132" s="3" t="s">
        <v>547</v>
      </c>
      <c r="P132" s="3">
        <v>53900.000000000007</v>
      </c>
      <c r="Q132" s="4">
        <v>53900.000000000007</v>
      </c>
      <c r="R132" s="3" t="s">
        <v>367</v>
      </c>
      <c r="S132" s="3" t="s">
        <v>4</v>
      </c>
      <c r="T132" s="3" t="s">
        <v>4</v>
      </c>
      <c r="U132" s="3"/>
    </row>
    <row r="133" spans="1:21">
      <c r="A133">
        <v>3279</v>
      </c>
      <c r="B133" t="s">
        <v>10</v>
      </c>
      <c r="C133" t="s">
        <v>10</v>
      </c>
      <c r="D133" t="s">
        <v>40</v>
      </c>
      <c r="E133" t="s">
        <v>40</v>
      </c>
      <c r="F133" t="s">
        <v>47</v>
      </c>
      <c r="G133" t="s">
        <v>47</v>
      </c>
      <c r="H133" t="s">
        <v>362</v>
      </c>
      <c r="I133" t="s">
        <v>627</v>
      </c>
      <c r="J133" s="3" t="s">
        <v>628</v>
      </c>
      <c r="K133" s="3"/>
      <c r="L133" s="3" t="s">
        <v>12</v>
      </c>
      <c r="M133" s="3" t="s">
        <v>498</v>
      </c>
      <c r="N133" s="4">
        <v>536000</v>
      </c>
      <c r="O133" s="3" t="s">
        <v>516</v>
      </c>
      <c r="P133" s="3">
        <v>37520</v>
      </c>
      <c r="Q133" s="4">
        <v>37520</v>
      </c>
      <c r="R133" s="3" t="s">
        <v>301</v>
      </c>
      <c r="S133" s="3" t="s">
        <v>4</v>
      </c>
      <c r="T133" s="3" t="s">
        <v>4</v>
      </c>
      <c r="U133" s="3"/>
    </row>
    <row r="134" spans="1:21">
      <c r="A134">
        <v>3285</v>
      </c>
      <c r="B134" t="s">
        <v>10</v>
      </c>
      <c r="C134" t="s">
        <v>10</v>
      </c>
      <c r="D134" t="s">
        <v>40</v>
      </c>
      <c r="E134" t="s">
        <v>40</v>
      </c>
      <c r="F134" t="s">
        <v>47</v>
      </c>
      <c r="G134" t="s">
        <v>47</v>
      </c>
      <c r="H134" t="s">
        <v>362</v>
      </c>
      <c r="I134" t="s">
        <v>629</v>
      </c>
      <c r="J134" s="3" t="s">
        <v>628</v>
      </c>
      <c r="K134" s="3"/>
      <c r="L134" s="3" t="s">
        <v>12</v>
      </c>
      <c r="M134" s="3" t="s">
        <v>498</v>
      </c>
      <c r="N134" s="4">
        <v>676000</v>
      </c>
      <c r="O134" s="3" t="s">
        <v>516</v>
      </c>
      <c r="P134" s="3">
        <v>47319</v>
      </c>
      <c r="Q134" s="4">
        <v>47319</v>
      </c>
      <c r="R134" s="3" t="s">
        <v>301</v>
      </c>
      <c r="S134" s="3" t="s">
        <v>4</v>
      </c>
      <c r="T134" s="3" t="s">
        <v>4</v>
      </c>
      <c r="U134" s="3"/>
    </row>
    <row r="135" spans="1:21">
      <c r="A135">
        <v>3281</v>
      </c>
      <c r="B135" t="s">
        <v>10</v>
      </c>
      <c r="C135" t="s">
        <v>10</v>
      </c>
      <c r="D135" t="s">
        <v>40</v>
      </c>
      <c r="E135" t="s">
        <v>40</v>
      </c>
      <c r="F135" t="s">
        <v>47</v>
      </c>
      <c r="G135" t="s">
        <v>47</v>
      </c>
      <c r="H135" t="s">
        <v>362</v>
      </c>
      <c r="I135" t="s">
        <v>96</v>
      </c>
      <c r="J135" s="3" t="s">
        <v>610</v>
      </c>
      <c r="K135" s="3"/>
      <c r="L135" s="3" t="s">
        <v>12</v>
      </c>
      <c r="M135" s="3" t="s">
        <v>498</v>
      </c>
      <c r="N135" s="4">
        <v>500000</v>
      </c>
      <c r="O135" s="3" t="s">
        <v>516</v>
      </c>
      <c r="P135" s="3">
        <v>37800</v>
      </c>
      <c r="Q135" s="4">
        <v>37800</v>
      </c>
      <c r="R135" s="3" t="s">
        <v>301</v>
      </c>
      <c r="S135" s="3" t="s">
        <v>4</v>
      </c>
      <c r="T135" s="3" t="s">
        <v>4</v>
      </c>
      <c r="U135" s="3"/>
    </row>
    <row r="136" spans="1:21">
      <c r="A136">
        <v>3210</v>
      </c>
      <c r="B136" t="s">
        <v>10</v>
      </c>
      <c r="C136" t="s">
        <v>10</v>
      </c>
      <c r="D136" t="s">
        <v>40</v>
      </c>
      <c r="E136" t="s">
        <v>40</v>
      </c>
      <c r="F136" t="s">
        <v>47</v>
      </c>
      <c r="G136" t="s">
        <v>47</v>
      </c>
      <c r="H136" t="s">
        <v>362</v>
      </c>
      <c r="I136" t="s">
        <v>630</v>
      </c>
      <c r="J136" s="3" t="s">
        <v>615</v>
      </c>
      <c r="K136" s="3"/>
      <c r="L136" s="3" t="s">
        <v>12</v>
      </c>
      <c r="M136" s="3" t="s">
        <v>631</v>
      </c>
      <c r="N136" s="4">
        <v>572004</v>
      </c>
      <c r="O136" s="3" t="s">
        <v>366</v>
      </c>
      <c r="P136" s="3">
        <v>40040.280000000006</v>
      </c>
      <c r="Q136" s="4">
        <v>40040.280000000006</v>
      </c>
      <c r="R136" s="3" t="s">
        <v>367</v>
      </c>
      <c r="S136" s="3" t="s">
        <v>4</v>
      </c>
      <c r="T136" s="3" t="s">
        <v>4</v>
      </c>
      <c r="U136" s="3"/>
    </row>
    <row r="137" spans="1:21">
      <c r="A137">
        <v>3175</v>
      </c>
      <c r="B137" t="s">
        <v>10</v>
      </c>
      <c r="C137" t="s">
        <v>10</v>
      </c>
      <c r="D137" t="s">
        <v>40</v>
      </c>
      <c r="E137" t="s">
        <v>40</v>
      </c>
      <c r="F137" t="s">
        <v>47</v>
      </c>
      <c r="G137" t="s">
        <v>47</v>
      </c>
      <c r="H137" t="s">
        <v>362</v>
      </c>
      <c r="I137" t="s">
        <v>632</v>
      </c>
      <c r="J137" s="3" t="s">
        <v>617</v>
      </c>
      <c r="K137" s="3"/>
      <c r="L137" s="3" t="s">
        <v>12</v>
      </c>
      <c r="M137" s="3" t="s">
        <v>370</v>
      </c>
      <c r="N137" s="4">
        <v>1299996</v>
      </c>
      <c r="O137" s="3" t="s">
        <v>371</v>
      </c>
      <c r="P137" s="3">
        <v>90999.720000000016</v>
      </c>
      <c r="Q137" s="4">
        <v>90999.720000000016</v>
      </c>
      <c r="R137" s="3" t="s">
        <v>367</v>
      </c>
      <c r="S137" s="3" t="s">
        <v>4</v>
      </c>
      <c r="T137" s="3" t="s">
        <v>4</v>
      </c>
      <c r="U137" s="3"/>
    </row>
    <row r="138" spans="1:21">
      <c r="A138">
        <v>3178</v>
      </c>
      <c r="B138" t="s">
        <v>10</v>
      </c>
      <c r="C138" t="s">
        <v>10</v>
      </c>
      <c r="D138" t="s">
        <v>40</v>
      </c>
      <c r="E138" t="s">
        <v>40</v>
      </c>
      <c r="F138" t="s">
        <v>47</v>
      </c>
      <c r="G138" t="s">
        <v>47</v>
      </c>
      <c r="H138" t="s">
        <v>362</v>
      </c>
      <c r="I138" t="s">
        <v>633</v>
      </c>
      <c r="J138" s="3" t="s">
        <v>628</v>
      </c>
      <c r="K138" s="3"/>
      <c r="L138" s="3" t="s">
        <v>12</v>
      </c>
      <c r="M138" s="3" t="s">
        <v>370</v>
      </c>
      <c r="N138" s="4" t="s">
        <v>634</v>
      </c>
      <c r="O138" s="3" t="s">
        <v>371</v>
      </c>
      <c r="P138" s="3">
        <v>35000.28</v>
      </c>
      <c r="Q138" s="4">
        <v>35000.28</v>
      </c>
      <c r="R138" s="3" t="s">
        <v>367</v>
      </c>
      <c r="S138" s="3" t="s">
        <v>4</v>
      </c>
      <c r="T138" s="3" t="s">
        <v>4</v>
      </c>
      <c r="U138" s="3"/>
    </row>
    <row r="139" spans="1:21">
      <c r="A139">
        <v>3324</v>
      </c>
      <c r="B139" t="s">
        <v>10</v>
      </c>
      <c r="C139" t="s">
        <v>10</v>
      </c>
      <c r="D139" t="s">
        <v>40</v>
      </c>
      <c r="E139" t="s">
        <v>40</v>
      </c>
      <c r="F139" t="s">
        <v>47</v>
      </c>
      <c r="G139" t="s">
        <v>47</v>
      </c>
      <c r="H139" t="s">
        <v>362</v>
      </c>
      <c r="I139" t="s">
        <v>635</v>
      </c>
      <c r="J139" s="3" t="s">
        <v>636</v>
      </c>
      <c r="K139" s="3"/>
      <c r="L139" s="3" t="s">
        <v>12</v>
      </c>
      <c r="M139" s="3" t="s">
        <v>450</v>
      </c>
      <c r="N139" s="4">
        <v>962390</v>
      </c>
      <c r="O139" s="3" t="s">
        <v>637</v>
      </c>
      <c r="P139" s="3">
        <v>67367.3</v>
      </c>
      <c r="Q139" s="4">
        <v>67367.3</v>
      </c>
      <c r="R139" s="3" t="s">
        <v>307</v>
      </c>
      <c r="S139" s="3" t="s">
        <v>4</v>
      </c>
      <c r="T139" s="3" t="s">
        <v>4</v>
      </c>
      <c r="U139" s="3"/>
    </row>
    <row r="140" spans="1:21">
      <c r="A140">
        <v>3185</v>
      </c>
      <c r="B140" t="s">
        <v>10</v>
      </c>
      <c r="C140" t="s">
        <v>10</v>
      </c>
      <c r="D140" t="s">
        <v>40</v>
      </c>
      <c r="E140" t="s">
        <v>40</v>
      </c>
      <c r="F140" t="s">
        <v>47</v>
      </c>
      <c r="G140" t="s">
        <v>47</v>
      </c>
      <c r="H140" t="s">
        <v>362</v>
      </c>
      <c r="I140" t="s">
        <v>638</v>
      </c>
      <c r="J140" s="3" t="s">
        <v>615</v>
      </c>
      <c r="K140" s="3"/>
      <c r="L140" s="3" t="s">
        <v>12</v>
      </c>
      <c r="M140" s="3" t="s">
        <v>365</v>
      </c>
      <c r="N140" s="4">
        <v>609996</v>
      </c>
      <c r="O140" s="3" t="s">
        <v>366</v>
      </c>
      <c r="P140" s="3">
        <v>42699.72</v>
      </c>
      <c r="Q140" s="4">
        <v>42699.72</v>
      </c>
      <c r="R140" s="3" t="s">
        <v>367</v>
      </c>
      <c r="S140" s="3" t="s">
        <v>4</v>
      </c>
      <c r="T140" s="3" t="s">
        <v>4</v>
      </c>
      <c r="U140" s="3"/>
    </row>
    <row r="141" spans="1:21">
      <c r="A141">
        <v>3442</v>
      </c>
      <c r="B141" t="s">
        <v>10</v>
      </c>
      <c r="C141" t="s">
        <v>10</v>
      </c>
      <c r="D141" t="s">
        <v>40</v>
      </c>
      <c r="E141" t="s">
        <v>40</v>
      </c>
      <c r="F141" t="s">
        <v>47</v>
      </c>
      <c r="G141" t="s">
        <v>47</v>
      </c>
      <c r="H141" t="s">
        <v>362</v>
      </c>
      <c r="I141" t="s">
        <v>639</v>
      </c>
      <c r="J141" s="3" t="s">
        <v>640</v>
      </c>
      <c r="K141" s="3"/>
      <c r="L141" s="3" t="s">
        <v>400</v>
      </c>
      <c r="M141" s="3" t="s">
        <v>641</v>
      </c>
      <c r="N141" s="4" t="s">
        <v>642</v>
      </c>
      <c r="O141" s="3" t="s">
        <v>643</v>
      </c>
      <c r="P141" s="3">
        <v>67059.72</v>
      </c>
      <c r="Q141" s="4">
        <v>67059.72</v>
      </c>
      <c r="R141" s="3" t="s">
        <v>644</v>
      </c>
      <c r="S141" s="3" t="s">
        <v>4</v>
      </c>
      <c r="T141" s="3" t="s">
        <v>4</v>
      </c>
      <c r="U141" s="3"/>
    </row>
    <row r="142" spans="1:21">
      <c r="A142">
        <v>3098</v>
      </c>
      <c r="B142" t="s">
        <v>10</v>
      </c>
      <c r="C142" t="s">
        <v>10</v>
      </c>
      <c r="D142" t="s">
        <v>40</v>
      </c>
      <c r="E142" t="s">
        <v>40</v>
      </c>
      <c r="F142" t="s">
        <v>47</v>
      </c>
      <c r="G142" t="s">
        <v>47</v>
      </c>
      <c r="H142" t="s">
        <v>275</v>
      </c>
      <c r="I142" t="s">
        <v>645</v>
      </c>
      <c r="J142" s="3" t="s">
        <v>646</v>
      </c>
      <c r="K142" s="3"/>
      <c r="L142" s="3" t="s">
        <v>144</v>
      </c>
      <c r="M142" s="3" t="s">
        <v>647</v>
      </c>
      <c r="N142" s="4">
        <v>2420000</v>
      </c>
      <c r="O142" s="3" t="s">
        <v>279</v>
      </c>
      <c r="P142" s="3">
        <v>193600</v>
      </c>
      <c r="Q142" s="4">
        <v>193600</v>
      </c>
      <c r="R142" s="3" t="s">
        <v>280</v>
      </c>
      <c r="S142" s="3" t="s">
        <v>4</v>
      </c>
      <c r="T142" s="3" t="s">
        <v>4</v>
      </c>
      <c r="U142" s="3"/>
    </row>
    <row r="143" spans="1:21">
      <c r="A143">
        <v>3249</v>
      </c>
      <c r="B143" t="s">
        <v>10</v>
      </c>
      <c r="C143" t="s">
        <v>10</v>
      </c>
      <c r="D143" t="s">
        <v>40</v>
      </c>
      <c r="E143" t="s">
        <v>40</v>
      </c>
      <c r="F143" t="s">
        <v>47</v>
      </c>
      <c r="G143" t="s">
        <v>47</v>
      </c>
      <c r="H143" t="s">
        <v>275</v>
      </c>
      <c r="I143" t="s">
        <v>648</v>
      </c>
      <c r="J143" s="3" t="s">
        <v>649</v>
      </c>
      <c r="K143" s="3"/>
      <c r="L143" s="3" t="s">
        <v>379</v>
      </c>
      <c r="M143" s="3" t="s">
        <v>283</v>
      </c>
      <c r="N143" s="4">
        <v>1020000</v>
      </c>
      <c r="O143" s="3" t="s">
        <v>650</v>
      </c>
      <c r="P143" s="3">
        <v>81600</v>
      </c>
      <c r="Q143" s="4">
        <v>81600</v>
      </c>
      <c r="R143" s="3" t="s">
        <v>651</v>
      </c>
      <c r="S143" s="3" t="s">
        <v>4</v>
      </c>
      <c r="T143" s="3" t="s">
        <v>4</v>
      </c>
      <c r="U143" s="3"/>
    </row>
    <row r="144" spans="1:21">
      <c r="A144">
        <v>3099</v>
      </c>
      <c r="B144" t="s">
        <v>10</v>
      </c>
      <c r="C144" t="s">
        <v>10</v>
      </c>
      <c r="D144" t="s">
        <v>40</v>
      </c>
      <c r="E144" t="s">
        <v>40</v>
      </c>
      <c r="F144" t="s">
        <v>47</v>
      </c>
      <c r="G144" t="s">
        <v>47</v>
      </c>
      <c r="H144" t="s">
        <v>275</v>
      </c>
      <c r="I144" t="s">
        <v>652</v>
      </c>
      <c r="J144" s="3" t="s">
        <v>653</v>
      </c>
      <c r="K144" s="3"/>
      <c r="L144" s="3" t="s">
        <v>144</v>
      </c>
      <c r="M144" s="3" t="s">
        <v>654</v>
      </c>
      <c r="N144" s="4">
        <v>980000</v>
      </c>
      <c r="O144" s="3" t="s">
        <v>279</v>
      </c>
      <c r="P144" s="3">
        <v>78400</v>
      </c>
      <c r="Q144" s="4">
        <v>78400</v>
      </c>
      <c r="R144" s="3" t="s">
        <v>280</v>
      </c>
      <c r="S144" s="3" t="s">
        <v>4</v>
      </c>
      <c r="T144" s="3" t="s">
        <v>4</v>
      </c>
      <c r="U144" s="3"/>
    </row>
    <row r="145" spans="1:21">
      <c r="A145">
        <v>3330</v>
      </c>
      <c r="B145" t="s">
        <v>10</v>
      </c>
      <c r="C145" t="s">
        <v>10</v>
      </c>
      <c r="D145" t="s">
        <v>40</v>
      </c>
      <c r="E145" t="s">
        <v>40</v>
      </c>
      <c r="F145" t="s">
        <v>47</v>
      </c>
      <c r="G145" t="s">
        <v>47</v>
      </c>
      <c r="H145" t="s">
        <v>487</v>
      </c>
      <c r="I145" t="s">
        <v>655</v>
      </c>
      <c r="J145" s="3" t="s">
        <v>656</v>
      </c>
      <c r="K145" s="3"/>
      <c r="L145" s="3" t="s">
        <v>449</v>
      </c>
      <c r="M145" s="3" t="s">
        <v>305</v>
      </c>
      <c r="N145" s="4">
        <v>625004</v>
      </c>
      <c r="O145" s="3" t="s">
        <v>657</v>
      </c>
      <c r="P145" s="3">
        <v>64562.91</v>
      </c>
      <c r="Q145" s="4">
        <v>64562.91</v>
      </c>
      <c r="R145" s="3" t="s">
        <v>658</v>
      </c>
      <c r="S145" s="3" t="s">
        <v>4</v>
      </c>
      <c r="T145" s="3" t="s">
        <v>4</v>
      </c>
      <c r="U145" s="3"/>
    </row>
    <row r="146" spans="1:21">
      <c r="A146">
        <v>3350</v>
      </c>
      <c r="B146" t="s">
        <v>10</v>
      </c>
      <c r="C146" t="s">
        <v>10</v>
      </c>
      <c r="D146" t="s">
        <v>40</v>
      </c>
      <c r="E146" t="s">
        <v>40</v>
      </c>
      <c r="F146" t="s">
        <v>47</v>
      </c>
      <c r="G146" t="s">
        <v>47</v>
      </c>
      <c r="H146" t="s">
        <v>487</v>
      </c>
      <c r="I146" t="s">
        <v>659</v>
      </c>
      <c r="J146" s="3" t="s">
        <v>660</v>
      </c>
      <c r="K146" s="3"/>
      <c r="L146" s="3" t="s">
        <v>449</v>
      </c>
      <c r="M146" s="3" t="s">
        <v>214</v>
      </c>
      <c r="N146" s="4">
        <v>550012</v>
      </c>
      <c r="O146" s="3" t="s">
        <v>494</v>
      </c>
      <c r="P146" s="3">
        <v>45815.99</v>
      </c>
      <c r="Q146" s="4">
        <v>45815.99</v>
      </c>
      <c r="R146" s="3" t="s">
        <v>495</v>
      </c>
      <c r="S146" s="3" t="s">
        <v>4</v>
      </c>
      <c r="T146" s="3" t="s">
        <v>4</v>
      </c>
      <c r="U146" s="3"/>
    </row>
    <row r="147" spans="1:21">
      <c r="A147">
        <v>3393</v>
      </c>
      <c r="B147" t="s">
        <v>10</v>
      </c>
      <c r="C147" t="s">
        <v>10</v>
      </c>
      <c r="D147" t="s">
        <v>40</v>
      </c>
      <c r="E147" t="s">
        <v>40</v>
      </c>
      <c r="F147" t="s">
        <v>47</v>
      </c>
      <c r="G147" t="s">
        <v>47</v>
      </c>
      <c r="H147" t="s">
        <v>487</v>
      </c>
      <c r="I147" t="s">
        <v>661</v>
      </c>
      <c r="J147" s="3" t="s">
        <v>662</v>
      </c>
      <c r="K147" s="3"/>
      <c r="L147" s="3" t="s">
        <v>449</v>
      </c>
      <c r="M147" s="3" t="s">
        <v>254</v>
      </c>
      <c r="N147" s="4" t="s">
        <v>490</v>
      </c>
      <c r="O147" s="3" t="s">
        <v>663</v>
      </c>
      <c r="P147" s="3">
        <v>45815.99</v>
      </c>
      <c r="Q147" s="4">
        <v>45815.99</v>
      </c>
      <c r="R147" s="3" t="s">
        <v>664</v>
      </c>
      <c r="S147" s="3" t="s">
        <v>4</v>
      </c>
      <c r="T147" s="3" t="s">
        <v>4</v>
      </c>
      <c r="U147" s="3"/>
    </row>
    <row r="148" spans="1:21">
      <c r="A148">
        <v>3268</v>
      </c>
      <c r="B148" t="s">
        <v>10</v>
      </c>
      <c r="C148" t="s">
        <v>10</v>
      </c>
      <c r="D148" t="s">
        <v>40</v>
      </c>
      <c r="E148" t="s">
        <v>40</v>
      </c>
      <c r="F148" t="s">
        <v>47</v>
      </c>
      <c r="G148" t="s">
        <v>47</v>
      </c>
      <c r="H148" t="s">
        <v>487</v>
      </c>
      <c r="I148" t="s">
        <v>665</v>
      </c>
      <c r="J148" s="3" t="s">
        <v>666</v>
      </c>
      <c r="K148" s="3"/>
      <c r="L148" s="3" t="s">
        <v>449</v>
      </c>
      <c r="M148" s="3" t="s">
        <v>299</v>
      </c>
      <c r="N148" s="4">
        <v>600011</v>
      </c>
      <c r="O148" s="3" t="s">
        <v>667</v>
      </c>
      <c r="P148" s="3">
        <v>49980</v>
      </c>
      <c r="Q148" s="4">
        <v>49980</v>
      </c>
      <c r="R148" s="3" t="s">
        <v>606</v>
      </c>
      <c r="S148" s="3" t="s">
        <v>4</v>
      </c>
      <c r="T148" s="3" t="s">
        <v>4</v>
      </c>
      <c r="U148" s="3"/>
    </row>
    <row r="149" spans="1:21">
      <c r="A149">
        <v>3536</v>
      </c>
      <c r="B149" t="s">
        <v>10</v>
      </c>
      <c r="C149" t="s">
        <v>10</v>
      </c>
      <c r="D149" t="s">
        <v>40</v>
      </c>
      <c r="E149" t="s">
        <v>40</v>
      </c>
      <c r="F149" t="s">
        <v>47</v>
      </c>
      <c r="G149" t="s">
        <v>47</v>
      </c>
      <c r="H149" t="s">
        <v>668</v>
      </c>
      <c r="I149" t="s">
        <v>669</v>
      </c>
      <c r="J149" s="3" t="s">
        <v>670</v>
      </c>
      <c r="K149" s="3"/>
      <c r="L149" s="3" t="s">
        <v>671</v>
      </c>
      <c r="M149" s="3" t="s">
        <v>150</v>
      </c>
      <c r="N149" s="4" t="s">
        <v>672</v>
      </c>
      <c r="O149" s="3" t="s">
        <v>673</v>
      </c>
      <c r="P149" s="3" t="s">
        <v>674</v>
      </c>
      <c r="Q149" s="4">
        <v>522902.4</v>
      </c>
      <c r="R149" s="3" t="s">
        <v>382</v>
      </c>
      <c r="S149" s="3" t="s">
        <v>19</v>
      </c>
      <c r="T149" s="3" t="s">
        <v>19</v>
      </c>
      <c r="U149" s="3"/>
    </row>
    <row r="150" spans="1:21">
      <c r="A150">
        <v>3096</v>
      </c>
      <c r="B150" t="s">
        <v>10</v>
      </c>
      <c r="C150" t="s">
        <v>10</v>
      </c>
      <c r="D150" t="s">
        <v>40</v>
      </c>
      <c r="E150" t="s">
        <v>40</v>
      </c>
      <c r="F150" t="s">
        <v>47</v>
      </c>
      <c r="G150" t="s">
        <v>47</v>
      </c>
      <c r="H150" t="s">
        <v>392</v>
      </c>
      <c r="I150" t="s">
        <v>675</v>
      </c>
      <c r="J150" s="3" t="s">
        <v>676</v>
      </c>
      <c r="K150" s="3"/>
      <c r="L150" s="3" t="s">
        <v>166</v>
      </c>
      <c r="M150" s="3" t="s">
        <v>647</v>
      </c>
      <c r="N150" s="4">
        <v>1700000</v>
      </c>
      <c r="O150" s="3" t="s">
        <v>677</v>
      </c>
      <c r="P150" s="3">
        <v>141610</v>
      </c>
      <c r="Q150" s="4">
        <v>141610</v>
      </c>
      <c r="R150" s="3" t="s">
        <v>678</v>
      </c>
      <c r="S150" s="3" t="s">
        <v>4</v>
      </c>
      <c r="T150" s="3" t="s">
        <v>4</v>
      </c>
      <c r="U150" s="3"/>
    </row>
    <row r="151" spans="1:21" ht="27.6">
      <c r="A151">
        <v>3022</v>
      </c>
      <c r="B151" t="s">
        <v>10</v>
      </c>
      <c r="C151" t="s">
        <v>10</v>
      </c>
      <c r="D151" t="s">
        <v>40</v>
      </c>
      <c r="E151" t="s">
        <v>40</v>
      </c>
      <c r="F151" t="s">
        <v>48</v>
      </c>
      <c r="G151" t="s">
        <v>48</v>
      </c>
      <c r="H151" t="s">
        <v>679</v>
      </c>
      <c r="I151" t="s">
        <v>680</v>
      </c>
      <c r="J151" s="3" t="s">
        <v>681</v>
      </c>
      <c r="K151" s="3"/>
      <c r="L151" s="3" t="s">
        <v>12</v>
      </c>
      <c r="M151" s="3" t="s">
        <v>428</v>
      </c>
      <c r="N151" s="4">
        <v>390000</v>
      </c>
      <c r="O151" s="3" t="s">
        <v>682</v>
      </c>
      <c r="P151" s="3">
        <v>32487</v>
      </c>
      <c r="Q151" s="4">
        <v>32487</v>
      </c>
      <c r="R151" s="3" t="s">
        <v>413</v>
      </c>
      <c r="S151" s="3" t="s">
        <v>4</v>
      </c>
      <c r="T151" s="3" t="s">
        <v>4</v>
      </c>
      <c r="U151" s="3"/>
    </row>
    <row r="152" spans="1:21" ht="27.6">
      <c r="A152">
        <v>3063</v>
      </c>
      <c r="B152" t="s">
        <v>10</v>
      </c>
      <c r="C152" t="s">
        <v>10</v>
      </c>
      <c r="D152" t="s">
        <v>40</v>
      </c>
      <c r="E152" t="s">
        <v>40</v>
      </c>
      <c r="F152" t="s">
        <v>48</v>
      </c>
      <c r="G152" t="s">
        <v>48</v>
      </c>
      <c r="H152" t="s">
        <v>679</v>
      </c>
      <c r="I152" t="s">
        <v>683</v>
      </c>
      <c r="J152" s="3" t="s">
        <v>681</v>
      </c>
      <c r="K152" s="3"/>
      <c r="L152" s="3" t="s">
        <v>12</v>
      </c>
      <c r="M152" s="3" t="s">
        <v>411</v>
      </c>
      <c r="N152" s="4">
        <v>456000</v>
      </c>
      <c r="O152" s="3" t="s">
        <v>682</v>
      </c>
      <c r="P152" s="3">
        <v>37984.800000000003</v>
      </c>
      <c r="Q152" s="4">
        <v>37984.800000000003</v>
      </c>
      <c r="R152" s="3" t="s">
        <v>413</v>
      </c>
      <c r="S152" s="3" t="s">
        <v>4</v>
      </c>
      <c r="T152" s="3" t="s">
        <v>4</v>
      </c>
      <c r="U152" s="3"/>
    </row>
    <row r="153" spans="1:21" ht="27.6">
      <c r="A153">
        <v>3089</v>
      </c>
      <c r="B153" t="s">
        <v>10</v>
      </c>
      <c r="C153" t="s">
        <v>10</v>
      </c>
      <c r="D153" t="s">
        <v>40</v>
      </c>
      <c r="E153" t="s">
        <v>40</v>
      </c>
      <c r="F153" t="s">
        <v>48</v>
      </c>
      <c r="G153" t="s">
        <v>48</v>
      </c>
      <c r="H153" t="s">
        <v>684</v>
      </c>
      <c r="I153" t="s">
        <v>685</v>
      </c>
      <c r="J153" s="3" t="s">
        <v>686</v>
      </c>
      <c r="K153" s="3"/>
      <c r="L153" s="3" t="s">
        <v>131</v>
      </c>
      <c r="M153" s="3" t="s">
        <v>687</v>
      </c>
      <c r="N153" s="4">
        <v>2013400</v>
      </c>
      <c r="O153" s="3" t="s">
        <v>688</v>
      </c>
      <c r="P153" s="3">
        <v>211407</v>
      </c>
      <c r="Q153" s="4">
        <v>211407</v>
      </c>
      <c r="R153" s="3" t="s">
        <v>678</v>
      </c>
      <c r="S153" s="3" t="s">
        <v>4</v>
      </c>
      <c r="T153" s="3" t="s">
        <v>4</v>
      </c>
      <c r="U153" s="3"/>
    </row>
    <row r="154" spans="1:21">
      <c r="A154">
        <v>3088</v>
      </c>
      <c r="B154" t="s">
        <v>10</v>
      </c>
      <c r="C154" t="s">
        <v>10</v>
      </c>
      <c r="D154" t="s">
        <v>40</v>
      </c>
      <c r="E154" t="s">
        <v>40</v>
      </c>
      <c r="F154" t="s">
        <v>49</v>
      </c>
      <c r="G154" t="s">
        <v>49</v>
      </c>
      <c r="H154" t="s">
        <v>397</v>
      </c>
      <c r="I154" t="s">
        <v>689</v>
      </c>
      <c r="J154" s="3" t="s">
        <v>690</v>
      </c>
      <c r="K154" s="3"/>
      <c r="L154" s="3" t="s">
        <v>477</v>
      </c>
      <c r="M154" s="3" t="s">
        <v>691</v>
      </c>
      <c r="N154" s="4">
        <v>1203802</v>
      </c>
      <c r="O154" s="3" t="s">
        <v>424</v>
      </c>
      <c r="P154" s="3">
        <v>100276.7066</v>
      </c>
      <c r="Q154" s="4">
        <v>100276.7066</v>
      </c>
      <c r="R154" s="3" t="s">
        <v>425</v>
      </c>
      <c r="S154" s="3" t="s">
        <v>4</v>
      </c>
      <c r="T154" s="3" t="s">
        <v>4</v>
      </c>
      <c r="U154" s="3"/>
    </row>
    <row r="155" spans="1:21">
      <c r="A155">
        <v>3143</v>
      </c>
      <c r="B155" t="s">
        <v>10</v>
      </c>
      <c r="C155" t="s">
        <v>10</v>
      </c>
      <c r="D155" t="s">
        <v>40</v>
      </c>
      <c r="E155" t="s">
        <v>40</v>
      </c>
      <c r="F155" t="s">
        <v>49</v>
      </c>
      <c r="G155" t="s">
        <v>49</v>
      </c>
      <c r="H155" t="s">
        <v>362</v>
      </c>
      <c r="I155" t="s">
        <v>692</v>
      </c>
      <c r="J155" s="3" t="s">
        <v>532</v>
      </c>
      <c r="K155" s="3"/>
      <c r="L155" s="3" t="s">
        <v>12</v>
      </c>
      <c r="M155" s="3" t="s">
        <v>374</v>
      </c>
      <c r="N155" s="4">
        <v>1270000</v>
      </c>
      <c r="O155" s="3" t="s">
        <v>375</v>
      </c>
      <c r="P155" s="3">
        <v>88900.000000000015</v>
      </c>
      <c r="Q155" s="4">
        <v>88900.000000000015</v>
      </c>
      <c r="R155" s="3" t="s">
        <v>376</v>
      </c>
      <c r="S155" s="3" t="s">
        <v>4</v>
      </c>
      <c r="T155" s="3" t="s">
        <v>4</v>
      </c>
      <c r="U155" s="3"/>
    </row>
    <row r="156" spans="1:21">
      <c r="A156">
        <v>3212</v>
      </c>
      <c r="B156" t="s">
        <v>10</v>
      </c>
      <c r="C156" t="s">
        <v>10</v>
      </c>
      <c r="D156" t="s">
        <v>40</v>
      </c>
      <c r="E156" t="s">
        <v>40</v>
      </c>
      <c r="F156" t="s">
        <v>49</v>
      </c>
      <c r="G156" t="s">
        <v>49</v>
      </c>
      <c r="H156" t="s">
        <v>362</v>
      </c>
      <c r="I156" t="s">
        <v>693</v>
      </c>
      <c r="J156" s="3" t="s">
        <v>636</v>
      </c>
      <c r="K156" s="3"/>
      <c r="L156" s="3" t="s">
        <v>12</v>
      </c>
      <c r="M156" s="3" t="s">
        <v>694</v>
      </c>
      <c r="N156" s="4">
        <v>707208</v>
      </c>
      <c r="O156" s="3" t="s">
        <v>547</v>
      </c>
      <c r="P156" s="3">
        <v>49504.560000000005</v>
      </c>
      <c r="Q156" s="4">
        <v>49504.560000000005</v>
      </c>
      <c r="R156" s="3" t="s">
        <v>367</v>
      </c>
      <c r="S156" s="3" t="s">
        <v>4</v>
      </c>
      <c r="T156" s="3" t="s">
        <v>4</v>
      </c>
      <c r="U156" s="3"/>
    </row>
    <row r="157" spans="1:21">
      <c r="A157">
        <v>3174</v>
      </c>
      <c r="B157" t="s">
        <v>10</v>
      </c>
      <c r="C157" t="s">
        <v>10</v>
      </c>
      <c r="D157" t="s">
        <v>40</v>
      </c>
      <c r="E157" t="s">
        <v>40</v>
      </c>
      <c r="F157" t="s">
        <v>49</v>
      </c>
      <c r="G157" t="s">
        <v>49</v>
      </c>
      <c r="H157" t="s">
        <v>362</v>
      </c>
      <c r="I157" t="s">
        <v>695</v>
      </c>
      <c r="J157" s="3" t="s">
        <v>551</v>
      </c>
      <c r="K157" s="3"/>
      <c r="L157" s="3" t="s">
        <v>12</v>
      </c>
      <c r="M157" s="3" t="s">
        <v>370</v>
      </c>
      <c r="N157" s="4">
        <v>400008</v>
      </c>
      <c r="O157" s="3" t="s">
        <v>371</v>
      </c>
      <c r="P157" s="3">
        <v>25000</v>
      </c>
      <c r="Q157" s="4">
        <v>25000</v>
      </c>
      <c r="R157" s="3" t="s">
        <v>367</v>
      </c>
      <c r="S157" s="3" t="s">
        <v>4</v>
      </c>
      <c r="T157" s="3" t="s">
        <v>4</v>
      </c>
      <c r="U157" s="3"/>
    </row>
    <row r="158" spans="1:21">
      <c r="A158">
        <v>3284</v>
      </c>
      <c r="B158" t="s">
        <v>10</v>
      </c>
      <c r="C158" t="s">
        <v>10</v>
      </c>
      <c r="D158" t="s">
        <v>40</v>
      </c>
      <c r="E158" t="s">
        <v>40</v>
      </c>
      <c r="F158" t="s">
        <v>49</v>
      </c>
      <c r="G158" t="s">
        <v>49</v>
      </c>
      <c r="H158" t="s">
        <v>362</v>
      </c>
      <c r="I158" t="s">
        <v>696</v>
      </c>
      <c r="J158" s="3" t="s">
        <v>442</v>
      </c>
      <c r="K158" s="3"/>
      <c r="L158" s="3" t="s">
        <v>12</v>
      </c>
      <c r="M158" s="3" t="s">
        <v>498</v>
      </c>
      <c r="N158" s="4">
        <v>650000</v>
      </c>
      <c r="O158" s="3" t="s">
        <v>516</v>
      </c>
      <c r="P158" s="3">
        <v>46592.28</v>
      </c>
      <c r="Q158" s="4">
        <v>46592.28</v>
      </c>
      <c r="R158" s="3" t="s">
        <v>301</v>
      </c>
      <c r="S158" s="3" t="s">
        <v>4</v>
      </c>
      <c r="T158" s="3" t="s">
        <v>4</v>
      </c>
      <c r="U158" s="3"/>
    </row>
    <row r="159" spans="1:21">
      <c r="A159">
        <v>3255</v>
      </c>
      <c r="B159" t="s">
        <v>10</v>
      </c>
      <c r="C159" t="s">
        <v>10</v>
      </c>
      <c r="D159" t="s">
        <v>40</v>
      </c>
      <c r="E159" t="s">
        <v>40</v>
      </c>
      <c r="F159" t="s">
        <v>49</v>
      </c>
      <c r="G159" t="s">
        <v>49</v>
      </c>
      <c r="H159" t="s">
        <v>362</v>
      </c>
      <c r="I159" t="s">
        <v>697</v>
      </c>
      <c r="J159" s="3" t="s">
        <v>636</v>
      </c>
      <c r="K159" s="3"/>
      <c r="L159" s="3" t="s">
        <v>12</v>
      </c>
      <c r="M159" s="3" t="s">
        <v>698</v>
      </c>
      <c r="N159" s="4">
        <v>900000</v>
      </c>
      <c r="O159" s="3" t="s">
        <v>607</v>
      </c>
      <c r="P159" s="3">
        <v>72800</v>
      </c>
      <c r="Q159" s="4">
        <v>72800</v>
      </c>
      <c r="R159" s="3" t="s">
        <v>608</v>
      </c>
      <c r="S159" s="3" t="s">
        <v>4</v>
      </c>
      <c r="T159" s="3" t="s">
        <v>4</v>
      </c>
      <c r="U159" s="3"/>
    </row>
    <row r="160" spans="1:21">
      <c r="A160">
        <v>3220</v>
      </c>
      <c r="B160" t="s">
        <v>10</v>
      </c>
      <c r="C160" t="s">
        <v>10</v>
      </c>
      <c r="D160" t="s">
        <v>40</v>
      </c>
      <c r="E160" t="s">
        <v>40</v>
      </c>
      <c r="F160" t="s">
        <v>49</v>
      </c>
      <c r="G160" t="s">
        <v>49</v>
      </c>
      <c r="H160" t="s">
        <v>275</v>
      </c>
      <c r="I160" t="s">
        <v>699</v>
      </c>
      <c r="J160" s="3" t="s">
        <v>700</v>
      </c>
      <c r="K160" s="3"/>
      <c r="L160" s="3" t="s">
        <v>701</v>
      </c>
      <c r="M160" s="3" t="s">
        <v>613</v>
      </c>
      <c r="N160" s="4">
        <v>1400000</v>
      </c>
      <c r="O160" s="3" t="s">
        <v>702</v>
      </c>
      <c r="P160" s="3">
        <v>112000</v>
      </c>
      <c r="Q160" s="4">
        <v>112000</v>
      </c>
      <c r="R160" s="3" t="s">
        <v>290</v>
      </c>
      <c r="S160" s="3" t="s">
        <v>4</v>
      </c>
      <c r="T160" s="3" t="s">
        <v>4</v>
      </c>
      <c r="U160" s="3"/>
    </row>
    <row r="161" spans="1:21">
      <c r="A161">
        <v>3275</v>
      </c>
      <c r="B161" t="s">
        <v>10</v>
      </c>
      <c r="C161" t="s">
        <v>10</v>
      </c>
      <c r="D161" t="s">
        <v>40</v>
      </c>
      <c r="E161" t="s">
        <v>40</v>
      </c>
      <c r="F161" t="s">
        <v>49</v>
      </c>
      <c r="G161" t="s">
        <v>49</v>
      </c>
      <c r="H161" t="s">
        <v>703</v>
      </c>
      <c r="I161" t="s">
        <v>704</v>
      </c>
      <c r="J161" s="3" t="s">
        <v>705</v>
      </c>
      <c r="K161" s="3"/>
      <c r="L161" s="3" t="s">
        <v>10</v>
      </c>
      <c r="M161" s="3" t="s">
        <v>288</v>
      </c>
      <c r="N161" s="4">
        <v>1600000</v>
      </c>
      <c r="O161" s="3" t="s">
        <v>706</v>
      </c>
      <c r="P161" s="3">
        <v>112273</v>
      </c>
      <c r="Q161" s="4">
        <v>112273</v>
      </c>
      <c r="R161" s="3" t="s">
        <v>707</v>
      </c>
      <c r="S161" s="3" t="s">
        <v>708</v>
      </c>
      <c r="T161" s="3" t="s">
        <v>19</v>
      </c>
      <c r="U161" s="3"/>
    </row>
    <row r="162" spans="1:21">
      <c r="A162">
        <v>3168</v>
      </c>
      <c r="B162" t="s">
        <v>10</v>
      </c>
      <c r="C162" t="s">
        <v>10</v>
      </c>
      <c r="D162" t="s">
        <v>40</v>
      </c>
      <c r="E162" t="s">
        <v>40</v>
      </c>
      <c r="F162" t="s">
        <v>49</v>
      </c>
      <c r="G162" t="s">
        <v>49</v>
      </c>
      <c r="H162" t="s">
        <v>703</v>
      </c>
      <c r="I162" t="s">
        <v>709</v>
      </c>
      <c r="J162" s="3" t="s">
        <v>710</v>
      </c>
      <c r="K162" s="3"/>
      <c r="L162" s="3" t="s">
        <v>456</v>
      </c>
      <c r="M162" s="3" t="s">
        <v>711</v>
      </c>
      <c r="N162" s="4">
        <v>876190</v>
      </c>
      <c r="O162" s="3" t="s">
        <v>712</v>
      </c>
      <c r="P162" s="3">
        <v>72986.626999999993</v>
      </c>
      <c r="Q162" s="4">
        <v>72986.626999999993</v>
      </c>
      <c r="R162" s="3" t="s">
        <v>285</v>
      </c>
      <c r="S162" s="3" t="s">
        <v>19</v>
      </c>
      <c r="T162" s="3" t="s">
        <v>19</v>
      </c>
      <c r="U162" s="3"/>
    </row>
    <row r="163" spans="1:21" ht="27.6">
      <c r="A163">
        <v>3276</v>
      </c>
      <c r="B163" t="s">
        <v>10</v>
      </c>
      <c r="C163" t="s">
        <v>10</v>
      </c>
      <c r="D163" t="s">
        <v>40</v>
      </c>
      <c r="E163" t="s">
        <v>40</v>
      </c>
      <c r="F163" t="s">
        <v>49</v>
      </c>
      <c r="G163" t="s">
        <v>49</v>
      </c>
      <c r="H163" t="s">
        <v>713</v>
      </c>
      <c r="I163" t="s">
        <v>714</v>
      </c>
      <c r="J163" s="3" t="s">
        <v>715</v>
      </c>
      <c r="K163" s="3"/>
      <c r="L163" s="3" t="s">
        <v>716</v>
      </c>
      <c r="M163" s="3" t="s">
        <v>498</v>
      </c>
      <c r="N163" s="4">
        <v>600000</v>
      </c>
      <c r="O163" s="3" t="s">
        <v>717</v>
      </c>
      <c r="P163" s="3">
        <v>49980</v>
      </c>
      <c r="Q163" s="4">
        <v>49980</v>
      </c>
      <c r="R163" s="3" t="s">
        <v>718</v>
      </c>
      <c r="S163" s="3" t="s">
        <v>4</v>
      </c>
      <c r="T163" s="3" t="s">
        <v>4</v>
      </c>
      <c r="U163" s="3"/>
    </row>
    <row r="164" spans="1:21">
      <c r="A164">
        <v>3323</v>
      </c>
      <c r="B164" t="s">
        <v>10</v>
      </c>
      <c r="C164" t="s">
        <v>10</v>
      </c>
      <c r="D164" t="s">
        <v>40</v>
      </c>
      <c r="E164" t="s">
        <v>40</v>
      </c>
      <c r="F164" t="s">
        <v>50</v>
      </c>
      <c r="G164" t="s">
        <v>50</v>
      </c>
      <c r="H164" t="s">
        <v>397</v>
      </c>
      <c r="I164" t="s">
        <v>719</v>
      </c>
      <c r="J164" s="3" t="s">
        <v>720</v>
      </c>
      <c r="K164" s="3"/>
      <c r="L164" s="3" t="s">
        <v>410</v>
      </c>
      <c r="M164" s="3" t="s">
        <v>401</v>
      </c>
      <c r="N164" s="4">
        <v>123558.14</v>
      </c>
      <c r="O164" s="3" t="s">
        <v>402</v>
      </c>
      <c r="P164" s="3">
        <v>10292.39</v>
      </c>
      <c r="Q164" s="4">
        <v>10292.39</v>
      </c>
      <c r="R164" s="3" t="s">
        <v>403</v>
      </c>
      <c r="S164" s="3" t="s">
        <v>4</v>
      </c>
      <c r="T164" s="3" t="s">
        <v>4</v>
      </c>
      <c r="U164" s="3"/>
    </row>
    <row r="165" spans="1:21">
      <c r="A165">
        <v>3182</v>
      </c>
      <c r="B165" t="s">
        <v>10</v>
      </c>
      <c r="C165" t="s">
        <v>10</v>
      </c>
      <c r="D165" t="s">
        <v>40</v>
      </c>
      <c r="E165" t="s">
        <v>40</v>
      </c>
      <c r="F165" t="s">
        <v>50</v>
      </c>
      <c r="G165" t="s">
        <v>50</v>
      </c>
      <c r="H165" t="s">
        <v>362</v>
      </c>
      <c r="I165" t="s">
        <v>721</v>
      </c>
      <c r="J165" s="3" t="s">
        <v>722</v>
      </c>
      <c r="K165" s="3"/>
      <c r="L165" s="3" t="s">
        <v>12</v>
      </c>
      <c r="M165" s="3" t="s">
        <v>560</v>
      </c>
      <c r="N165" s="4">
        <v>890004</v>
      </c>
      <c r="O165" s="3" t="s">
        <v>366</v>
      </c>
      <c r="P165" s="3">
        <v>62300.280000000006</v>
      </c>
      <c r="Q165" s="4">
        <v>62300.280000000006</v>
      </c>
      <c r="R165" s="3" t="s">
        <v>367</v>
      </c>
      <c r="S165" s="3" t="s">
        <v>4</v>
      </c>
      <c r="T165" s="3" t="s">
        <v>4</v>
      </c>
      <c r="U165" s="3"/>
    </row>
    <row r="166" spans="1:21">
      <c r="A166">
        <v>3352</v>
      </c>
      <c r="B166" t="s">
        <v>10</v>
      </c>
      <c r="C166" t="s">
        <v>10</v>
      </c>
      <c r="D166" t="s">
        <v>40</v>
      </c>
      <c r="E166" t="s">
        <v>40</v>
      </c>
      <c r="F166" t="s">
        <v>50</v>
      </c>
      <c r="G166" t="s">
        <v>50</v>
      </c>
      <c r="H166" t="s">
        <v>474</v>
      </c>
      <c r="I166" t="s">
        <v>723</v>
      </c>
      <c r="J166" s="3" t="s">
        <v>724</v>
      </c>
      <c r="K166" s="3"/>
      <c r="L166" s="3" t="s">
        <v>591</v>
      </c>
      <c r="M166" s="3" t="s">
        <v>214</v>
      </c>
      <c r="N166" s="4">
        <v>1320000</v>
      </c>
      <c r="O166" s="3" t="s">
        <v>725</v>
      </c>
      <c r="P166" s="3" t="s">
        <v>726</v>
      </c>
      <c r="Q166" s="4">
        <v>109956</v>
      </c>
      <c r="R166" s="3" t="s">
        <v>216</v>
      </c>
      <c r="S166" s="3" t="s">
        <v>19</v>
      </c>
      <c r="T166" s="3" t="s">
        <v>19</v>
      </c>
      <c r="U166" s="3"/>
    </row>
    <row r="167" spans="1:21">
      <c r="A167">
        <v>3318</v>
      </c>
      <c r="B167" t="s">
        <v>10</v>
      </c>
      <c r="C167" t="s">
        <v>10</v>
      </c>
      <c r="D167" t="s">
        <v>40</v>
      </c>
      <c r="E167" t="s">
        <v>40</v>
      </c>
      <c r="F167" t="s">
        <v>50</v>
      </c>
      <c r="G167" t="s">
        <v>50</v>
      </c>
      <c r="H167" t="s">
        <v>474</v>
      </c>
      <c r="I167" t="s">
        <v>727</v>
      </c>
      <c r="J167" s="3" t="s">
        <v>728</v>
      </c>
      <c r="K167" s="3"/>
      <c r="L167" s="3" t="s">
        <v>12</v>
      </c>
      <c r="M167" s="3" t="s">
        <v>729</v>
      </c>
      <c r="N167" s="4">
        <v>900000</v>
      </c>
      <c r="O167" s="3" t="s">
        <v>725</v>
      </c>
      <c r="P167" s="3">
        <v>74970</v>
      </c>
      <c r="Q167" s="4">
        <v>74970</v>
      </c>
      <c r="R167" s="3" t="s">
        <v>216</v>
      </c>
      <c r="S167" s="3" t="s">
        <v>19</v>
      </c>
      <c r="T167" s="3" t="s">
        <v>19</v>
      </c>
      <c r="U167" s="3"/>
    </row>
    <row r="168" spans="1:21">
      <c r="A168">
        <v>3353</v>
      </c>
      <c r="B168" t="s">
        <v>10</v>
      </c>
      <c r="C168" t="s">
        <v>10</v>
      </c>
      <c r="D168" t="s">
        <v>40</v>
      </c>
      <c r="E168" t="s">
        <v>40</v>
      </c>
      <c r="F168" t="s">
        <v>50</v>
      </c>
      <c r="G168" t="s">
        <v>50</v>
      </c>
      <c r="H168" t="s">
        <v>474</v>
      </c>
      <c r="I168" t="s">
        <v>730</v>
      </c>
      <c r="J168" s="3" t="s">
        <v>724</v>
      </c>
      <c r="K168" s="3"/>
      <c r="L168" s="3" t="s">
        <v>127</v>
      </c>
      <c r="M168" s="3" t="s">
        <v>214</v>
      </c>
      <c r="N168" s="4">
        <v>1168000</v>
      </c>
      <c r="O168" s="3" t="s">
        <v>731</v>
      </c>
      <c r="P168" s="3">
        <v>97294.399999999994</v>
      </c>
      <c r="Q168" s="4">
        <v>97294.399999999994</v>
      </c>
      <c r="R168" s="3" t="s">
        <v>216</v>
      </c>
      <c r="S168" s="3" t="s">
        <v>19</v>
      </c>
      <c r="T168" s="3" t="s">
        <v>19</v>
      </c>
      <c r="U168" s="3"/>
    </row>
    <row r="169" spans="1:21">
      <c r="A169">
        <v>3116</v>
      </c>
      <c r="B169" t="s">
        <v>10</v>
      </c>
      <c r="C169" t="s">
        <v>10</v>
      </c>
      <c r="D169" t="s">
        <v>40</v>
      </c>
      <c r="E169" t="s">
        <v>40</v>
      </c>
      <c r="F169" t="s">
        <v>51</v>
      </c>
      <c r="G169" t="s">
        <v>51</v>
      </c>
      <c r="H169" t="s">
        <v>362</v>
      </c>
      <c r="I169" t="s">
        <v>732</v>
      </c>
      <c r="J169" s="3" t="s">
        <v>440</v>
      </c>
      <c r="K169" s="3"/>
      <c r="L169" s="3" t="s">
        <v>400</v>
      </c>
      <c r="M169" s="3" t="s">
        <v>278</v>
      </c>
      <c r="N169" s="4">
        <v>450000</v>
      </c>
      <c r="O169" s="3" t="s">
        <v>443</v>
      </c>
      <c r="P169" s="3">
        <v>25000</v>
      </c>
      <c r="Q169" s="4">
        <v>25000</v>
      </c>
      <c r="R169" s="3" t="s">
        <v>376</v>
      </c>
      <c r="S169" s="3" t="s">
        <v>4</v>
      </c>
      <c r="T169" s="3" t="s">
        <v>4</v>
      </c>
      <c r="U169" s="3"/>
    </row>
    <row r="170" spans="1:21">
      <c r="A170">
        <v>3253</v>
      </c>
      <c r="B170" t="s">
        <v>10</v>
      </c>
      <c r="C170" t="s">
        <v>10</v>
      </c>
      <c r="D170" t="s">
        <v>40</v>
      </c>
      <c r="E170" t="s">
        <v>40</v>
      </c>
      <c r="F170" t="s">
        <v>51</v>
      </c>
      <c r="G170" t="s">
        <v>51</v>
      </c>
      <c r="H170" t="s">
        <v>362</v>
      </c>
      <c r="I170" t="s">
        <v>733</v>
      </c>
      <c r="J170" s="3" t="s">
        <v>734</v>
      </c>
      <c r="K170" s="3"/>
      <c r="L170" s="3" t="s">
        <v>12</v>
      </c>
      <c r="M170" s="3" t="s">
        <v>520</v>
      </c>
      <c r="N170" s="4" t="s">
        <v>735</v>
      </c>
      <c r="O170" s="3" t="s">
        <v>521</v>
      </c>
      <c r="P170" s="3">
        <v>82810</v>
      </c>
      <c r="Q170" s="4">
        <v>82810</v>
      </c>
      <c r="R170" s="3" t="s">
        <v>522</v>
      </c>
      <c r="S170" s="3" t="s">
        <v>4</v>
      </c>
      <c r="T170" s="3" t="s">
        <v>4</v>
      </c>
      <c r="U170" s="3"/>
    </row>
    <row r="171" spans="1:21">
      <c r="A171">
        <v>3216</v>
      </c>
      <c r="B171" t="s">
        <v>10</v>
      </c>
      <c r="C171" t="s">
        <v>10</v>
      </c>
      <c r="D171" t="s">
        <v>40</v>
      </c>
      <c r="E171" t="s">
        <v>40</v>
      </c>
      <c r="F171" t="s">
        <v>51</v>
      </c>
      <c r="G171" t="s">
        <v>51</v>
      </c>
      <c r="H171" t="s">
        <v>362</v>
      </c>
      <c r="I171" t="s">
        <v>736</v>
      </c>
      <c r="J171" s="3" t="s">
        <v>734</v>
      </c>
      <c r="K171" s="3"/>
      <c r="L171" s="3" t="s">
        <v>12</v>
      </c>
      <c r="M171" s="3" t="s">
        <v>181</v>
      </c>
      <c r="N171" s="4">
        <v>950004</v>
      </c>
      <c r="O171" s="3" t="s">
        <v>547</v>
      </c>
      <c r="P171" s="3">
        <v>66500.280000000013</v>
      </c>
      <c r="Q171" s="4">
        <v>66500.280000000013</v>
      </c>
      <c r="R171" s="3" t="s">
        <v>367</v>
      </c>
      <c r="S171" s="3" t="s">
        <v>4</v>
      </c>
      <c r="T171" s="3" t="s">
        <v>4</v>
      </c>
      <c r="U171" s="3"/>
    </row>
    <row r="172" spans="1:21">
      <c r="A172">
        <v>3223</v>
      </c>
      <c r="B172" t="s">
        <v>10</v>
      </c>
      <c r="C172" t="s">
        <v>10</v>
      </c>
      <c r="D172" t="s">
        <v>40</v>
      </c>
      <c r="E172" t="s">
        <v>40</v>
      </c>
      <c r="F172" t="s">
        <v>51</v>
      </c>
      <c r="G172" t="s">
        <v>51</v>
      </c>
      <c r="H172" t="s">
        <v>362</v>
      </c>
      <c r="I172" t="s">
        <v>737</v>
      </c>
      <c r="J172" s="3" t="s">
        <v>734</v>
      </c>
      <c r="K172" s="3"/>
      <c r="L172" s="3" t="s">
        <v>12</v>
      </c>
      <c r="M172" s="3" t="s">
        <v>613</v>
      </c>
      <c r="N172" s="4">
        <v>1235004</v>
      </c>
      <c r="O172" s="3" t="s">
        <v>547</v>
      </c>
      <c r="P172" s="3">
        <v>86450.280000000013</v>
      </c>
      <c r="Q172" s="4">
        <v>86450.280000000013</v>
      </c>
      <c r="R172" s="3" t="s">
        <v>367</v>
      </c>
      <c r="S172" s="3" t="s">
        <v>4</v>
      </c>
      <c r="T172" s="3" t="s">
        <v>4</v>
      </c>
      <c r="U172" s="3"/>
    </row>
    <row r="173" spans="1:21">
      <c r="A173">
        <v>3209</v>
      </c>
      <c r="B173" t="s">
        <v>10</v>
      </c>
      <c r="C173" t="s">
        <v>10</v>
      </c>
      <c r="D173" t="s">
        <v>40</v>
      </c>
      <c r="E173" t="s">
        <v>40</v>
      </c>
      <c r="F173" t="s">
        <v>51</v>
      </c>
      <c r="G173" t="s">
        <v>51</v>
      </c>
      <c r="H173" t="s">
        <v>362</v>
      </c>
      <c r="I173" t="s">
        <v>738</v>
      </c>
      <c r="J173" s="3" t="s">
        <v>734</v>
      </c>
      <c r="K173" s="3"/>
      <c r="L173" s="3" t="s">
        <v>12</v>
      </c>
      <c r="M173" s="3" t="s">
        <v>631</v>
      </c>
      <c r="N173" s="4">
        <v>990000</v>
      </c>
      <c r="O173" s="3" t="s">
        <v>366</v>
      </c>
      <c r="P173" s="3">
        <v>69300</v>
      </c>
      <c r="Q173" s="4">
        <v>69300</v>
      </c>
      <c r="R173" s="3" t="s">
        <v>367</v>
      </c>
      <c r="S173" s="3" t="s">
        <v>4</v>
      </c>
      <c r="T173" s="3" t="s">
        <v>4</v>
      </c>
      <c r="U173" s="3"/>
    </row>
    <row r="174" spans="1:21">
      <c r="A174">
        <v>3245</v>
      </c>
      <c r="B174" t="s">
        <v>10</v>
      </c>
      <c r="C174" t="s">
        <v>10</v>
      </c>
      <c r="D174" t="s">
        <v>40</v>
      </c>
      <c r="E174" t="s">
        <v>40</v>
      </c>
      <c r="F174" t="s">
        <v>51</v>
      </c>
      <c r="G174" t="s">
        <v>51</v>
      </c>
      <c r="H174" t="s">
        <v>362</v>
      </c>
      <c r="I174" t="s">
        <v>739</v>
      </c>
      <c r="J174" s="3" t="s">
        <v>734</v>
      </c>
      <c r="K174" s="3"/>
      <c r="L174" s="3" t="s">
        <v>12</v>
      </c>
      <c r="M174" s="3" t="s">
        <v>283</v>
      </c>
      <c r="N174" s="4">
        <v>1170000</v>
      </c>
      <c r="O174" s="3" t="s">
        <v>547</v>
      </c>
      <c r="P174" s="3">
        <v>81900.000000000015</v>
      </c>
      <c r="Q174" s="4">
        <v>81900.000000000015</v>
      </c>
      <c r="R174" s="3" t="s">
        <v>367</v>
      </c>
      <c r="S174" s="3" t="s">
        <v>4</v>
      </c>
      <c r="T174" s="3" t="s">
        <v>4</v>
      </c>
      <c r="U174" s="3"/>
    </row>
    <row r="175" spans="1:21">
      <c r="A175">
        <v>3316</v>
      </c>
      <c r="B175" t="s">
        <v>10</v>
      </c>
      <c r="C175" t="s">
        <v>10</v>
      </c>
      <c r="D175" t="s">
        <v>40</v>
      </c>
      <c r="E175" t="s">
        <v>40</v>
      </c>
      <c r="F175" t="s">
        <v>51</v>
      </c>
      <c r="G175" t="s">
        <v>51</v>
      </c>
      <c r="H175" t="s">
        <v>362</v>
      </c>
      <c r="I175" t="s">
        <v>740</v>
      </c>
      <c r="J175" s="3" t="s">
        <v>734</v>
      </c>
      <c r="K175" s="3"/>
      <c r="L175" s="3" t="s">
        <v>12</v>
      </c>
      <c r="M175" s="3" t="s">
        <v>624</v>
      </c>
      <c r="N175" s="4">
        <v>1050000</v>
      </c>
      <c r="O175" s="3" t="s">
        <v>556</v>
      </c>
      <c r="P175" s="3">
        <v>73500</v>
      </c>
      <c r="Q175" s="4">
        <v>73500</v>
      </c>
      <c r="R175" s="3" t="s">
        <v>741</v>
      </c>
      <c r="S175" s="3" t="s">
        <v>4</v>
      </c>
      <c r="T175" s="3" t="s">
        <v>4</v>
      </c>
      <c r="U175" s="3"/>
    </row>
    <row r="176" spans="1:21">
      <c r="A176">
        <v>3222</v>
      </c>
      <c r="B176" t="s">
        <v>10</v>
      </c>
      <c r="C176" t="s">
        <v>10</v>
      </c>
      <c r="D176" t="s">
        <v>40</v>
      </c>
      <c r="E176" t="s">
        <v>40</v>
      </c>
      <c r="F176" t="s">
        <v>51</v>
      </c>
      <c r="G176" t="s">
        <v>51</v>
      </c>
      <c r="H176" t="s">
        <v>362</v>
      </c>
      <c r="I176" t="s">
        <v>742</v>
      </c>
      <c r="J176" s="3" t="s">
        <v>743</v>
      </c>
      <c r="K176" s="3"/>
      <c r="L176" s="3" t="s">
        <v>12</v>
      </c>
      <c r="M176" s="3" t="s">
        <v>613</v>
      </c>
      <c r="N176" s="4">
        <v>1660008</v>
      </c>
      <c r="O176" s="3" t="s">
        <v>547</v>
      </c>
      <c r="P176" s="3">
        <v>116200.56000000001</v>
      </c>
      <c r="Q176" s="4">
        <v>116200.56000000001</v>
      </c>
      <c r="R176" s="3" t="s">
        <v>367</v>
      </c>
      <c r="S176" s="3" t="s">
        <v>4</v>
      </c>
      <c r="T176" s="3" t="s">
        <v>4</v>
      </c>
      <c r="U176" s="3"/>
    </row>
    <row r="177" spans="1:21">
      <c r="A177">
        <v>3244</v>
      </c>
      <c r="B177" t="s">
        <v>10</v>
      </c>
      <c r="C177" t="s">
        <v>10</v>
      </c>
      <c r="D177" t="s">
        <v>40</v>
      </c>
      <c r="E177" t="s">
        <v>40</v>
      </c>
      <c r="F177" t="s">
        <v>51</v>
      </c>
      <c r="G177" t="s">
        <v>51</v>
      </c>
      <c r="H177" t="s">
        <v>362</v>
      </c>
      <c r="I177" t="s">
        <v>744</v>
      </c>
      <c r="J177" s="3" t="s">
        <v>636</v>
      </c>
      <c r="K177" s="3"/>
      <c r="L177" s="3" t="s">
        <v>12</v>
      </c>
      <c r="M177" s="3" t="s">
        <v>283</v>
      </c>
      <c r="N177" s="4">
        <v>546000</v>
      </c>
      <c r="O177" s="3" t="s">
        <v>547</v>
      </c>
      <c r="P177" s="3">
        <v>38220</v>
      </c>
      <c r="Q177" s="4">
        <v>38220</v>
      </c>
      <c r="R177" s="3" t="s">
        <v>367</v>
      </c>
      <c r="S177" s="3" t="s">
        <v>4</v>
      </c>
      <c r="T177" s="3" t="s">
        <v>4</v>
      </c>
      <c r="U177" s="3"/>
    </row>
    <row r="178" spans="1:21">
      <c r="A178">
        <v>3142</v>
      </c>
      <c r="B178" t="s">
        <v>10</v>
      </c>
      <c r="C178" t="s">
        <v>10</v>
      </c>
      <c r="D178" t="s">
        <v>40</v>
      </c>
      <c r="E178" t="s">
        <v>40</v>
      </c>
      <c r="F178" t="s">
        <v>51</v>
      </c>
      <c r="G178" t="s">
        <v>51</v>
      </c>
      <c r="H178" t="s">
        <v>362</v>
      </c>
      <c r="I178" t="s">
        <v>745</v>
      </c>
      <c r="J178" s="3" t="s">
        <v>734</v>
      </c>
      <c r="K178" s="3"/>
      <c r="L178" s="3" t="s">
        <v>12</v>
      </c>
      <c r="M178" s="3" t="s">
        <v>374</v>
      </c>
      <c r="N178" s="4">
        <v>1140000</v>
      </c>
      <c r="O178" s="3" t="s">
        <v>375</v>
      </c>
      <c r="P178" s="3">
        <v>79800.000000000015</v>
      </c>
      <c r="Q178" s="4">
        <v>79800.000000000015</v>
      </c>
      <c r="R178" s="3" t="s">
        <v>376</v>
      </c>
      <c r="S178" s="3" t="s">
        <v>4</v>
      </c>
      <c r="T178" s="3" t="s">
        <v>4</v>
      </c>
      <c r="U178" s="3"/>
    </row>
    <row r="179" spans="1:21">
      <c r="A179">
        <v>3532</v>
      </c>
      <c r="B179" t="s">
        <v>10</v>
      </c>
      <c r="C179" t="s">
        <v>10</v>
      </c>
      <c r="D179" t="s">
        <v>40</v>
      </c>
      <c r="E179" t="s">
        <v>40</v>
      </c>
      <c r="F179" t="s">
        <v>52</v>
      </c>
      <c r="G179" t="s">
        <v>52</v>
      </c>
      <c r="H179" t="s">
        <v>397</v>
      </c>
      <c r="I179" t="s">
        <v>746</v>
      </c>
      <c r="J179" s="3" t="s">
        <v>747</v>
      </c>
      <c r="K179" s="3"/>
      <c r="L179" s="3" t="s">
        <v>166</v>
      </c>
      <c r="M179" s="3" t="s">
        <v>150</v>
      </c>
      <c r="N179" s="4">
        <v>1489000</v>
      </c>
      <c r="O179" s="3"/>
      <c r="P179" s="3">
        <v>90000</v>
      </c>
      <c r="Q179" s="4">
        <v>90000</v>
      </c>
      <c r="R179" s="3"/>
      <c r="S179" s="3" t="s">
        <v>20</v>
      </c>
      <c r="T179" s="3" t="s">
        <v>20</v>
      </c>
      <c r="U179" s="3"/>
    </row>
    <row r="180" spans="1:21" ht="27.6">
      <c r="A180">
        <v>3535</v>
      </c>
      <c r="B180" t="s">
        <v>10</v>
      </c>
      <c r="C180" t="s">
        <v>10</v>
      </c>
      <c r="D180" t="s">
        <v>40</v>
      </c>
      <c r="E180" t="s">
        <v>40</v>
      </c>
      <c r="F180" t="s">
        <v>52</v>
      </c>
      <c r="G180" t="s">
        <v>52</v>
      </c>
      <c r="H180" t="s">
        <v>397</v>
      </c>
      <c r="I180" t="s">
        <v>748</v>
      </c>
      <c r="J180" s="3" t="s">
        <v>749</v>
      </c>
      <c r="K180" s="3"/>
      <c r="L180" s="3" t="s">
        <v>750</v>
      </c>
      <c r="M180" s="3" t="s">
        <v>150</v>
      </c>
      <c r="N180" s="4">
        <v>1175000</v>
      </c>
      <c r="O180" s="3"/>
      <c r="P180" s="3">
        <v>60000</v>
      </c>
      <c r="Q180" s="4">
        <v>60000</v>
      </c>
      <c r="R180" s="3"/>
      <c r="S180" s="3" t="s">
        <v>20</v>
      </c>
      <c r="T180" s="3" t="s">
        <v>20</v>
      </c>
      <c r="U180" s="3"/>
    </row>
    <row r="181" spans="1:21">
      <c r="A181">
        <v>3480</v>
      </c>
      <c r="B181" t="s">
        <v>10</v>
      </c>
      <c r="C181" t="s">
        <v>10</v>
      </c>
      <c r="D181" t="s">
        <v>40</v>
      </c>
      <c r="E181" t="s">
        <v>40</v>
      </c>
      <c r="F181" t="s">
        <v>52</v>
      </c>
      <c r="G181" t="s">
        <v>52</v>
      </c>
      <c r="H181" t="s">
        <v>397</v>
      </c>
      <c r="I181" t="s">
        <v>751</v>
      </c>
      <c r="J181" s="3" t="s">
        <v>593</v>
      </c>
      <c r="K181" s="3"/>
      <c r="L181" s="3" t="s">
        <v>597</v>
      </c>
      <c r="M181" s="3" t="s">
        <v>174</v>
      </c>
      <c r="N181" s="4">
        <v>1547320</v>
      </c>
      <c r="O181" s="3" t="s">
        <v>752</v>
      </c>
      <c r="P181" s="3" t="s">
        <v>753</v>
      </c>
      <c r="Q181" s="4">
        <v>128891.75</v>
      </c>
      <c r="R181" s="3" t="s">
        <v>295</v>
      </c>
      <c r="S181" s="3" t="s">
        <v>19</v>
      </c>
      <c r="T181" s="3" t="s">
        <v>19</v>
      </c>
      <c r="U181" s="3"/>
    </row>
    <row r="182" spans="1:21">
      <c r="A182">
        <v>3062</v>
      </c>
      <c r="B182" t="s">
        <v>10</v>
      </c>
      <c r="C182" t="s">
        <v>10</v>
      </c>
      <c r="D182" t="s">
        <v>40</v>
      </c>
      <c r="E182" t="s">
        <v>40</v>
      </c>
      <c r="F182" t="s">
        <v>52</v>
      </c>
      <c r="G182" t="s">
        <v>52</v>
      </c>
      <c r="H182" t="s">
        <v>397</v>
      </c>
      <c r="I182" t="s">
        <v>754</v>
      </c>
      <c r="J182" s="3" t="s">
        <v>755</v>
      </c>
      <c r="K182" s="3"/>
      <c r="L182" s="3" t="s">
        <v>327</v>
      </c>
      <c r="M182" s="3" t="s">
        <v>411</v>
      </c>
      <c r="N182" s="4">
        <v>1228708</v>
      </c>
      <c r="O182" s="3" t="s">
        <v>412</v>
      </c>
      <c r="P182" s="3">
        <v>102351.37639999999</v>
      </c>
      <c r="Q182" s="4">
        <v>102351.37639999999</v>
      </c>
      <c r="R182" s="3" t="s">
        <v>413</v>
      </c>
      <c r="S182" s="3" t="s">
        <v>4</v>
      </c>
      <c r="T182" s="3" t="s">
        <v>4</v>
      </c>
      <c r="U182" s="3"/>
    </row>
    <row r="183" spans="1:21">
      <c r="A183">
        <v>3211</v>
      </c>
      <c r="B183" t="s">
        <v>10</v>
      </c>
      <c r="C183" t="s">
        <v>10</v>
      </c>
      <c r="D183" t="s">
        <v>40</v>
      </c>
      <c r="E183" t="s">
        <v>40</v>
      </c>
      <c r="F183" t="s">
        <v>52</v>
      </c>
      <c r="G183" t="s">
        <v>52</v>
      </c>
      <c r="H183" t="s">
        <v>397</v>
      </c>
      <c r="I183" t="s">
        <v>756</v>
      </c>
      <c r="J183" s="3" t="s">
        <v>593</v>
      </c>
      <c r="K183" s="3"/>
      <c r="L183" s="3" t="s">
        <v>671</v>
      </c>
      <c r="M183" s="3" t="s">
        <v>631</v>
      </c>
      <c r="N183" s="4">
        <v>1041911</v>
      </c>
      <c r="O183" s="3" t="s">
        <v>757</v>
      </c>
      <c r="P183" s="3">
        <v>86791.186300000001</v>
      </c>
      <c r="Q183" s="4">
        <v>86791.186300000001</v>
      </c>
      <c r="R183" s="3" t="s">
        <v>758</v>
      </c>
      <c r="S183" s="3" t="s">
        <v>4</v>
      </c>
      <c r="T183" s="3" t="s">
        <v>4</v>
      </c>
      <c r="U183" s="3"/>
    </row>
    <row r="184" spans="1:21">
      <c r="A184">
        <v>3320</v>
      </c>
      <c r="B184" t="s">
        <v>10</v>
      </c>
      <c r="C184" t="s">
        <v>10</v>
      </c>
      <c r="D184" t="s">
        <v>40</v>
      </c>
      <c r="E184" t="s">
        <v>40</v>
      </c>
      <c r="F184" t="s">
        <v>52</v>
      </c>
      <c r="G184" t="s">
        <v>52</v>
      </c>
      <c r="H184" t="s">
        <v>362</v>
      </c>
      <c r="I184" t="s">
        <v>759</v>
      </c>
      <c r="J184" s="3" t="s">
        <v>760</v>
      </c>
      <c r="K184" s="3"/>
      <c r="L184" s="3" t="s">
        <v>12</v>
      </c>
      <c r="M184" s="3" t="s">
        <v>761</v>
      </c>
      <c r="N184" s="4">
        <v>828720</v>
      </c>
      <c r="O184" s="3" t="s">
        <v>556</v>
      </c>
      <c r="P184" s="3">
        <v>58010.400000000001</v>
      </c>
      <c r="Q184" s="4">
        <v>58010.400000000001</v>
      </c>
      <c r="R184" s="3" t="s">
        <v>557</v>
      </c>
      <c r="S184" s="3" t="s">
        <v>4</v>
      </c>
      <c r="T184" s="3" t="s">
        <v>4</v>
      </c>
      <c r="U184" s="3"/>
    </row>
    <row r="185" spans="1:21">
      <c r="A185">
        <v>3280</v>
      </c>
      <c r="B185" t="s">
        <v>10</v>
      </c>
      <c r="C185" t="s">
        <v>10</v>
      </c>
      <c r="D185" t="s">
        <v>40</v>
      </c>
      <c r="E185" t="s">
        <v>40</v>
      </c>
      <c r="F185" t="s">
        <v>52</v>
      </c>
      <c r="G185" t="s">
        <v>52</v>
      </c>
      <c r="H185" t="s">
        <v>362</v>
      </c>
      <c r="I185" t="s">
        <v>762</v>
      </c>
      <c r="J185" s="3" t="s">
        <v>763</v>
      </c>
      <c r="K185" s="3"/>
      <c r="L185" s="3" t="s">
        <v>12</v>
      </c>
      <c r="M185" s="3" t="s">
        <v>498</v>
      </c>
      <c r="N185" s="4">
        <v>1650000</v>
      </c>
      <c r="O185" s="3" t="s">
        <v>516</v>
      </c>
      <c r="P185" s="3">
        <v>115500</v>
      </c>
      <c r="Q185" s="4">
        <v>115500</v>
      </c>
      <c r="R185" s="3" t="s">
        <v>301</v>
      </c>
      <c r="S185" s="3" t="s">
        <v>4</v>
      </c>
      <c r="T185" s="3" t="s">
        <v>4</v>
      </c>
      <c r="U185" s="3"/>
    </row>
    <row r="186" spans="1:21">
      <c r="A186">
        <v>3248</v>
      </c>
      <c r="B186" t="s">
        <v>10</v>
      </c>
      <c r="C186" t="s">
        <v>10</v>
      </c>
      <c r="D186" t="s">
        <v>40</v>
      </c>
      <c r="E186" t="s">
        <v>40</v>
      </c>
      <c r="F186" t="s">
        <v>52</v>
      </c>
      <c r="G186" t="s">
        <v>52</v>
      </c>
      <c r="H186" t="s">
        <v>275</v>
      </c>
      <c r="I186" t="s">
        <v>764</v>
      </c>
      <c r="J186" s="3" t="s">
        <v>765</v>
      </c>
      <c r="K186" s="3"/>
      <c r="L186" s="3" t="s">
        <v>766</v>
      </c>
      <c r="M186" s="3" t="s">
        <v>283</v>
      </c>
      <c r="N186" s="4">
        <v>1050000</v>
      </c>
      <c r="O186" s="3" t="s">
        <v>767</v>
      </c>
      <c r="P186" s="3">
        <v>84000</v>
      </c>
      <c r="Q186" s="4">
        <v>84000</v>
      </c>
      <c r="R186" s="3" t="s">
        <v>768</v>
      </c>
      <c r="S186" s="3" t="s">
        <v>4</v>
      </c>
      <c r="T186" s="3" t="s">
        <v>4</v>
      </c>
      <c r="U186" s="3"/>
    </row>
    <row r="187" spans="1:21">
      <c r="A187">
        <v>3087</v>
      </c>
      <c r="B187" t="s">
        <v>10</v>
      </c>
      <c r="C187" t="s">
        <v>10</v>
      </c>
      <c r="D187" t="s">
        <v>40</v>
      </c>
      <c r="E187" t="s">
        <v>40</v>
      </c>
      <c r="F187" t="s">
        <v>52</v>
      </c>
      <c r="G187" t="s">
        <v>52</v>
      </c>
      <c r="H187" t="s">
        <v>275</v>
      </c>
      <c r="I187" t="s">
        <v>769</v>
      </c>
      <c r="J187" s="3" t="s">
        <v>770</v>
      </c>
      <c r="K187" s="3"/>
      <c r="L187" s="3" t="s">
        <v>766</v>
      </c>
      <c r="M187" s="3" t="s">
        <v>691</v>
      </c>
      <c r="N187" s="4">
        <v>813000</v>
      </c>
      <c r="O187" s="3" t="s">
        <v>386</v>
      </c>
      <c r="P187" s="3">
        <v>65040</v>
      </c>
      <c r="Q187" s="4">
        <v>65040</v>
      </c>
      <c r="R187" s="3" t="s">
        <v>387</v>
      </c>
      <c r="S187" s="3" t="s">
        <v>4</v>
      </c>
      <c r="T187" s="3" t="s">
        <v>4</v>
      </c>
      <c r="U187" s="3"/>
    </row>
    <row r="188" spans="1:21" ht="27.6">
      <c r="A188">
        <v>3097</v>
      </c>
      <c r="B188" t="s">
        <v>10</v>
      </c>
      <c r="C188" t="s">
        <v>10</v>
      </c>
      <c r="D188" t="s">
        <v>40</v>
      </c>
      <c r="E188" t="s">
        <v>40</v>
      </c>
      <c r="F188" t="s">
        <v>52</v>
      </c>
      <c r="G188" t="s">
        <v>52</v>
      </c>
      <c r="H188" t="s">
        <v>703</v>
      </c>
      <c r="I188" t="s">
        <v>771</v>
      </c>
      <c r="J188" s="3" t="s">
        <v>772</v>
      </c>
      <c r="K188" s="3"/>
      <c r="L188" s="3" t="s">
        <v>144</v>
      </c>
      <c r="M188" s="3" t="s">
        <v>647</v>
      </c>
      <c r="N188" s="4">
        <v>659095</v>
      </c>
      <c r="O188" s="3" t="s">
        <v>773</v>
      </c>
      <c r="P188" s="3">
        <v>54902.613499999999</v>
      </c>
      <c r="Q188" s="4">
        <v>54902.613499999999</v>
      </c>
      <c r="R188" s="3" t="s">
        <v>678</v>
      </c>
      <c r="S188" s="3" t="s">
        <v>4</v>
      </c>
      <c r="T188" s="3" t="s">
        <v>4</v>
      </c>
      <c r="U188" s="3"/>
    </row>
    <row r="189" spans="1:21">
      <c r="A189">
        <v>3529</v>
      </c>
      <c r="B189" t="s">
        <v>10</v>
      </c>
      <c r="C189" t="s">
        <v>10</v>
      </c>
      <c r="D189" t="s">
        <v>40</v>
      </c>
      <c r="E189" t="s">
        <v>40</v>
      </c>
      <c r="F189" t="s">
        <v>52</v>
      </c>
      <c r="G189" t="s">
        <v>52</v>
      </c>
      <c r="H189" t="s">
        <v>487</v>
      </c>
      <c r="I189" t="s">
        <v>774</v>
      </c>
      <c r="J189" s="3" t="s">
        <v>775</v>
      </c>
      <c r="K189" s="3"/>
      <c r="L189" s="3" t="s">
        <v>449</v>
      </c>
      <c r="M189" s="3" t="s">
        <v>150</v>
      </c>
      <c r="N189" s="4" t="s">
        <v>575</v>
      </c>
      <c r="O189" s="3" t="s">
        <v>588</v>
      </c>
      <c r="P189" s="3">
        <v>37485.67</v>
      </c>
      <c r="Q189" s="4">
        <v>37485.67</v>
      </c>
      <c r="R189" s="3" t="s">
        <v>295</v>
      </c>
      <c r="S189" s="3" t="s">
        <v>19</v>
      </c>
      <c r="T189" s="3" t="s">
        <v>19</v>
      </c>
      <c r="U189" s="3"/>
    </row>
    <row r="190" spans="1:21">
      <c r="A190">
        <v>3551</v>
      </c>
      <c r="B190" t="s">
        <v>10</v>
      </c>
      <c r="C190" t="s">
        <v>10</v>
      </c>
      <c r="D190" t="s">
        <v>40</v>
      </c>
      <c r="E190" t="s">
        <v>40</v>
      </c>
      <c r="F190" t="s">
        <v>52</v>
      </c>
      <c r="G190" t="s">
        <v>52</v>
      </c>
      <c r="H190" t="s">
        <v>487</v>
      </c>
      <c r="I190" t="s">
        <v>776</v>
      </c>
      <c r="J190" s="3" t="s">
        <v>777</v>
      </c>
      <c r="K190" s="3"/>
      <c r="L190" s="3" t="s">
        <v>449</v>
      </c>
      <c r="M190" s="3" t="s">
        <v>778</v>
      </c>
      <c r="N190" s="4">
        <v>500010</v>
      </c>
      <c r="O190" s="3" t="s">
        <v>779</v>
      </c>
      <c r="P190" s="3">
        <v>41650.83</v>
      </c>
      <c r="Q190" s="4">
        <v>41650.83</v>
      </c>
      <c r="R190" s="3" t="s">
        <v>780</v>
      </c>
      <c r="S190" s="3" t="s">
        <v>19</v>
      </c>
      <c r="T190" s="3" t="s">
        <v>19</v>
      </c>
      <c r="U190" s="3"/>
    </row>
    <row r="191" spans="1:21">
      <c r="A191">
        <v>3479</v>
      </c>
      <c r="B191" t="s">
        <v>10</v>
      </c>
      <c r="C191" t="s">
        <v>10</v>
      </c>
      <c r="D191" t="s">
        <v>40</v>
      </c>
      <c r="E191" t="s">
        <v>40</v>
      </c>
      <c r="F191" t="s">
        <v>52</v>
      </c>
      <c r="G191" t="s">
        <v>52</v>
      </c>
      <c r="H191" t="s">
        <v>487</v>
      </c>
      <c r="I191" t="s">
        <v>781</v>
      </c>
      <c r="J191" s="3" t="s">
        <v>777</v>
      </c>
      <c r="K191" s="3"/>
      <c r="L191" s="3" t="s">
        <v>449</v>
      </c>
      <c r="M191" s="3" t="s">
        <v>174</v>
      </c>
      <c r="N191" s="4">
        <v>480004</v>
      </c>
      <c r="O191" s="3" t="s">
        <v>782</v>
      </c>
      <c r="P191" s="3">
        <v>39984.33</v>
      </c>
      <c r="Q191" s="4">
        <v>39984.33</v>
      </c>
      <c r="R191" s="3" t="s">
        <v>644</v>
      </c>
      <c r="S191" s="3" t="s">
        <v>4</v>
      </c>
      <c r="T191" s="3" t="s">
        <v>4</v>
      </c>
      <c r="U191" s="3"/>
    </row>
    <row r="192" spans="1:21">
      <c r="A192">
        <v>3136</v>
      </c>
      <c r="B192" t="s">
        <v>10</v>
      </c>
      <c r="C192" t="s">
        <v>10</v>
      </c>
      <c r="D192" t="s">
        <v>40</v>
      </c>
      <c r="E192" t="s">
        <v>40</v>
      </c>
      <c r="F192" t="s">
        <v>52</v>
      </c>
      <c r="G192" t="s">
        <v>52</v>
      </c>
      <c r="H192" t="s">
        <v>388</v>
      </c>
      <c r="I192" t="s">
        <v>783</v>
      </c>
      <c r="J192" s="3" t="s">
        <v>784</v>
      </c>
      <c r="K192" s="3"/>
      <c r="L192" s="3" t="s">
        <v>604</v>
      </c>
      <c r="M192" s="3" t="s">
        <v>785</v>
      </c>
      <c r="N192" s="4">
        <v>742292</v>
      </c>
      <c r="O192" s="3" t="s">
        <v>786</v>
      </c>
      <c r="P192" s="3">
        <v>61832.923600000002</v>
      </c>
      <c r="Q192" s="4">
        <v>61832.923600000002</v>
      </c>
      <c r="R192" s="3" t="s">
        <v>787</v>
      </c>
      <c r="S192" s="3" t="s">
        <v>4</v>
      </c>
      <c r="T192" s="3" t="s">
        <v>4</v>
      </c>
      <c r="U192" s="3"/>
    </row>
    <row r="193" spans="1:21">
      <c r="A193">
        <v>3042</v>
      </c>
      <c r="B193" t="s">
        <v>10</v>
      </c>
      <c r="C193" t="s">
        <v>10</v>
      </c>
      <c r="D193" t="s">
        <v>40</v>
      </c>
      <c r="E193" t="s">
        <v>40</v>
      </c>
      <c r="F193" t="s">
        <v>52</v>
      </c>
      <c r="G193" t="s">
        <v>52</v>
      </c>
      <c r="H193" t="s">
        <v>788</v>
      </c>
      <c r="I193" t="s">
        <v>789</v>
      </c>
      <c r="J193" s="3" t="s">
        <v>790</v>
      </c>
      <c r="K193" s="3"/>
      <c r="L193" s="3" t="s">
        <v>791</v>
      </c>
      <c r="M193" s="3" t="s">
        <v>792</v>
      </c>
      <c r="N193" s="4">
        <v>568000</v>
      </c>
      <c r="O193" s="3" t="s">
        <v>793</v>
      </c>
      <c r="P193" s="3">
        <v>47314.400000000001</v>
      </c>
      <c r="Q193" s="4">
        <v>47314.400000000001</v>
      </c>
      <c r="R193" s="3" t="s">
        <v>794</v>
      </c>
      <c r="S193" s="3" t="s">
        <v>4</v>
      </c>
      <c r="T193" s="3" t="s">
        <v>4</v>
      </c>
      <c r="U193" s="3"/>
    </row>
    <row r="194" spans="1:21">
      <c r="A194">
        <v>3179</v>
      </c>
      <c r="B194" t="s">
        <v>10</v>
      </c>
      <c r="C194" t="s">
        <v>10</v>
      </c>
      <c r="D194" t="s">
        <v>40</v>
      </c>
      <c r="E194" t="s">
        <v>40</v>
      </c>
      <c r="F194" t="s">
        <v>52</v>
      </c>
      <c r="G194" t="s">
        <v>52</v>
      </c>
      <c r="H194" t="s">
        <v>795</v>
      </c>
      <c r="I194" t="s">
        <v>796</v>
      </c>
      <c r="J194" s="3"/>
      <c r="K194" s="3"/>
      <c r="L194" s="3" t="s">
        <v>797</v>
      </c>
      <c r="M194" s="3" t="s">
        <v>560</v>
      </c>
      <c r="N194" s="4">
        <v>1080000</v>
      </c>
      <c r="O194" s="3" t="s">
        <v>798</v>
      </c>
      <c r="P194" s="3">
        <v>89964</v>
      </c>
      <c r="Q194" s="4">
        <v>89964</v>
      </c>
      <c r="R194" s="3" t="s">
        <v>799</v>
      </c>
      <c r="S194" s="3" t="s">
        <v>4</v>
      </c>
      <c r="T194" s="3" t="s">
        <v>4</v>
      </c>
      <c r="U194" s="3"/>
    </row>
    <row r="195" spans="1:21">
      <c r="A195">
        <v>3139</v>
      </c>
      <c r="B195" t="s">
        <v>10</v>
      </c>
      <c r="C195" t="s">
        <v>10</v>
      </c>
      <c r="D195" t="s">
        <v>40</v>
      </c>
      <c r="E195" t="s">
        <v>40</v>
      </c>
      <c r="F195" t="s">
        <v>52</v>
      </c>
      <c r="G195" t="s">
        <v>52</v>
      </c>
      <c r="H195" t="s">
        <v>479</v>
      </c>
      <c r="I195" t="s">
        <v>800</v>
      </c>
      <c r="J195" s="3" t="s">
        <v>801</v>
      </c>
      <c r="K195" s="3"/>
      <c r="L195" s="3" t="s">
        <v>144</v>
      </c>
      <c r="M195" s="3" t="s">
        <v>374</v>
      </c>
      <c r="N195" s="4">
        <v>1620000</v>
      </c>
      <c r="O195" s="3" t="s">
        <v>802</v>
      </c>
      <c r="P195" s="3">
        <v>134946</v>
      </c>
      <c r="Q195" s="4">
        <v>134946</v>
      </c>
      <c r="R195" s="3" t="s">
        <v>799</v>
      </c>
      <c r="S195" s="3" t="s">
        <v>4</v>
      </c>
      <c r="T195" s="3" t="s">
        <v>4</v>
      </c>
      <c r="U195" s="3"/>
    </row>
    <row r="196" spans="1:21">
      <c r="A196">
        <v>3391</v>
      </c>
      <c r="B196" t="s">
        <v>10</v>
      </c>
      <c r="C196" t="s">
        <v>10</v>
      </c>
      <c r="D196" t="s">
        <v>40</v>
      </c>
      <c r="E196" t="s">
        <v>40</v>
      </c>
      <c r="F196" t="s">
        <v>53</v>
      </c>
      <c r="G196" t="s">
        <v>53</v>
      </c>
      <c r="H196" t="s">
        <v>397</v>
      </c>
      <c r="I196" t="s">
        <v>803</v>
      </c>
      <c r="J196" s="3" t="s">
        <v>804</v>
      </c>
      <c r="K196" s="3"/>
      <c r="L196" s="3" t="s">
        <v>604</v>
      </c>
      <c r="M196" s="3" t="s">
        <v>254</v>
      </c>
      <c r="N196" s="4">
        <v>1618906</v>
      </c>
      <c r="O196" s="3" t="s">
        <v>805</v>
      </c>
      <c r="P196" s="3" t="s">
        <v>806</v>
      </c>
      <c r="Q196" s="4">
        <v>134854.87</v>
      </c>
      <c r="R196" s="3" t="s">
        <v>139</v>
      </c>
      <c r="S196" s="3" t="s">
        <v>4</v>
      </c>
      <c r="T196" s="3" t="s">
        <v>4</v>
      </c>
      <c r="U196" s="3"/>
    </row>
    <row r="197" spans="1:21">
      <c r="A197">
        <v>3482</v>
      </c>
      <c r="B197" t="s">
        <v>10</v>
      </c>
      <c r="C197" t="s">
        <v>10</v>
      </c>
      <c r="D197" t="s">
        <v>40</v>
      </c>
      <c r="E197" t="s">
        <v>40</v>
      </c>
      <c r="F197" t="s">
        <v>53</v>
      </c>
      <c r="G197" t="s">
        <v>53</v>
      </c>
      <c r="H197" t="s">
        <v>397</v>
      </c>
      <c r="I197" t="s">
        <v>80</v>
      </c>
      <c r="J197" s="3" t="s">
        <v>807</v>
      </c>
      <c r="K197" s="3"/>
      <c r="L197" s="3" t="s">
        <v>808</v>
      </c>
      <c r="M197" s="3" t="s">
        <v>174</v>
      </c>
      <c r="N197" s="4">
        <v>1259944</v>
      </c>
      <c r="O197" s="3" t="s">
        <v>809</v>
      </c>
      <c r="P197" s="3" t="s">
        <v>810</v>
      </c>
      <c r="Q197" s="4">
        <v>104953.33</v>
      </c>
      <c r="R197" s="3" t="s">
        <v>295</v>
      </c>
      <c r="S197" s="3" t="s">
        <v>19</v>
      </c>
      <c r="T197" s="3" t="s">
        <v>19</v>
      </c>
      <c r="U197" s="3"/>
    </row>
    <row r="198" spans="1:21">
      <c r="A198">
        <v>3321</v>
      </c>
      <c r="B198" t="s">
        <v>10</v>
      </c>
      <c r="C198" t="s">
        <v>10</v>
      </c>
      <c r="D198" t="s">
        <v>40</v>
      </c>
      <c r="E198" t="s">
        <v>40</v>
      </c>
      <c r="F198" t="s">
        <v>53</v>
      </c>
      <c r="G198" t="s">
        <v>53</v>
      </c>
      <c r="H198" t="s">
        <v>397</v>
      </c>
      <c r="I198" t="s">
        <v>811</v>
      </c>
      <c r="J198" s="3" t="s">
        <v>812</v>
      </c>
      <c r="K198" s="3"/>
      <c r="L198" s="3" t="s">
        <v>379</v>
      </c>
      <c r="M198" s="3" t="s">
        <v>401</v>
      </c>
      <c r="N198" s="4">
        <v>830208</v>
      </c>
      <c r="O198" s="3" t="s">
        <v>402</v>
      </c>
      <c r="P198" s="3">
        <v>69156.33</v>
      </c>
      <c r="Q198" s="4">
        <v>69156.33</v>
      </c>
      <c r="R198" s="3" t="s">
        <v>403</v>
      </c>
      <c r="S198" s="3" t="s">
        <v>4</v>
      </c>
      <c r="T198" s="3" t="s">
        <v>4</v>
      </c>
      <c r="U198" s="3"/>
    </row>
    <row r="199" spans="1:21">
      <c r="A199">
        <v>3392</v>
      </c>
      <c r="B199" t="s">
        <v>10</v>
      </c>
      <c r="C199" t="s">
        <v>10</v>
      </c>
      <c r="D199" t="s">
        <v>40</v>
      </c>
      <c r="E199" t="s">
        <v>40</v>
      </c>
      <c r="F199" t="s">
        <v>53</v>
      </c>
      <c r="G199" t="s">
        <v>53</v>
      </c>
      <c r="H199" t="s">
        <v>397</v>
      </c>
      <c r="I199" t="s">
        <v>813</v>
      </c>
      <c r="J199" s="3" t="s">
        <v>814</v>
      </c>
      <c r="K199" s="3"/>
      <c r="L199" s="3" t="s">
        <v>604</v>
      </c>
      <c r="M199" s="3" t="s">
        <v>254</v>
      </c>
      <c r="N199" s="4">
        <v>1286822</v>
      </c>
      <c r="O199" s="3" t="s">
        <v>805</v>
      </c>
      <c r="P199" s="3" t="s">
        <v>815</v>
      </c>
      <c r="Q199" s="4">
        <v>107192.27</v>
      </c>
      <c r="R199" s="3">
        <v>307.20260000000002</v>
      </c>
      <c r="S199" s="3" t="s">
        <v>4</v>
      </c>
      <c r="T199" s="3" t="s">
        <v>4</v>
      </c>
      <c r="U199" s="3"/>
    </row>
    <row r="200" spans="1:21">
      <c r="A200">
        <v>3043</v>
      </c>
      <c r="B200" t="s">
        <v>10</v>
      </c>
      <c r="C200" t="s">
        <v>10</v>
      </c>
      <c r="D200" t="s">
        <v>40</v>
      </c>
      <c r="E200" t="s">
        <v>40</v>
      </c>
      <c r="F200" t="s">
        <v>53</v>
      </c>
      <c r="G200" t="s">
        <v>53</v>
      </c>
      <c r="H200" t="s">
        <v>816</v>
      </c>
      <c r="I200" t="s">
        <v>817</v>
      </c>
      <c r="J200" s="3" t="s">
        <v>818</v>
      </c>
      <c r="K200" s="3"/>
      <c r="L200" s="3" t="s">
        <v>315</v>
      </c>
      <c r="M200" s="3" t="s">
        <v>792</v>
      </c>
      <c r="N200" s="4">
        <v>954739</v>
      </c>
      <c r="O200" s="3" t="s">
        <v>429</v>
      </c>
      <c r="P200" s="3">
        <v>79529.758700000006</v>
      </c>
      <c r="Q200" s="4">
        <v>79529.758700000006</v>
      </c>
      <c r="R200" s="3" t="s">
        <v>430</v>
      </c>
      <c r="S200" s="3" t="s">
        <v>4</v>
      </c>
      <c r="T200" s="3" t="s">
        <v>4</v>
      </c>
      <c r="U200" s="3"/>
    </row>
    <row r="201" spans="1:21">
      <c r="A201">
        <v>3180</v>
      </c>
      <c r="B201" t="s">
        <v>10</v>
      </c>
      <c r="C201" t="s">
        <v>10</v>
      </c>
      <c r="D201" t="s">
        <v>40</v>
      </c>
      <c r="E201" t="s">
        <v>40</v>
      </c>
      <c r="F201" t="s">
        <v>53</v>
      </c>
      <c r="G201" t="s">
        <v>53</v>
      </c>
      <c r="H201" t="s">
        <v>362</v>
      </c>
      <c r="I201" t="s">
        <v>819</v>
      </c>
      <c r="J201" s="3" t="s">
        <v>440</v>
      </c>
      <c r="K201" s="3"/>
      <c r="L201" s="3" t="s">
        <v>12</v>
      </c>
      <c r="M201" s="3" t="s">
        <v>560</v>
      </c>
      <c r="N201" s="4">
        <v>549996</v>
      </c>
      <c r="O201" s="3" t="s">
        <v>366</v>
      </c>
      <c r="P201" s="3">
        <v>38499.72</v>
      </c>
      <c r="Q201" s="4">
        <v>38499.72</v>
      </c>
      <c r="R201" s="3" t="s">
        <v>367</v>
      </c>
      <c r="S201" s="3" t="s">
        <v>4</v>
      </c>
      <c r="T201" s="3" t="s">
        <v>4</v>
      </c>
      <c r="U201" s="3"/>
    </row>
    <row r="202" spans="1:21">
      <c r="A202">
        <v>3114</v>
      </c>
      <c r="B202" t="s">
        <v>10</v>
      </c>
      <c r="C202" t="s">
        <v>10</v>
      </c>
      <c r="D202" t="s">
        <v>40</v>
      </c>
      <c r="E202" t="s">
        <v>40</v>
      </c>
      <c r="F202" t="s">
        <v>53</v>
      </c>
      <c r="G202" t="s">
        <v>53</v>
      </c>
      <c r="H202" t="s">
        <v>362</v>
      </c>
      <c r="I202" t="s">
        <v>820</v>
      </c>
      <c r="J202" s="3" t="s">
        <v>440</v>
      </c>
      <c r="K202" s="3"/>
      <c r="L202" s="3" t="s">
        <v>400</v>
      </c>
      <c r="M202" s="3" t="s">
        <v>278</v>
      </c>
      <c r="N202" s="4">
        <v>450000</v>
      </c>
      <c r="O202" s="3" t="s">
        <v>443</v>
      </c>
      <c r="P202" s="3">
        <v>25000</v>
      </c>
      <c r="Q202" s="4">
        <v>25000</v>
      </c>
      <c r="R202" s="3" t="s">
        <v>376</v>
      </c>
      <c r="S202" s="3" t="s">
        <v>4</v>
      </c>
      <c r="T202" s="3" t="s">
        <v>4</v>
      </c>
      <c r="U202" s="3"/>
    </row>
    <row r="203" spans="1:21">
      <c r="A203">
        <v>3213</v>
      </c>
      <c r="B203" t="s">
        <v>10</v>
      </c>
      <c r="C203" t="s">
        <v>10</v>
      </c>
      <c r="D203" t="s">
        <v>40</v>
      </c>
      <c r="E203" t="s">
        <v>40</v>
      </c>
      <c r="F203" t="s">
        <v>53</v>
      </c>
      <c r="G203" t="s">
        <v>53</v>
      </c>
      <c r="H203" t="s">
        <v>362</v>
      </c>
      <c r="I203" t="s">
        <v>821</v>
      </c>
      <c r="J203" s="3" t="s">
        <v>440</v>
      </c>
      <c r="K203" s="3"/>
      <c r="L203" s="3" t="s">
        <v>12</v>
      </c>
      <c r="M203" s="3" t="s">
        <v>822</v>
      </c>
      <c r="N203" s="4">
        <v>1150008</v>
      </c>
      <c r="O203" s="3" t="s">
        <v>547</v>
      </c>
      <c r="P203" s="3">
        <v>80500.560000000012</v>
      </c>
      <c r="Q203" s="4">
        <v>80500.560000000012</v>
      </c>
      <c r="R203" s="3" t="s">
        <v>367</v>
      </c>
      <c r="S203" s="3" t="s">
        <v>4</v>
      </c>
      <c r="T203" s="3" t="s">
        <v>4</v>
      </c>
      <c r="U203" s="3"/>
    </row>
    <row r="204" spans="1:21">
      <c r="A204">
        <v>3274</v>
      </c>
      <c r="B204" t="s">
        <v>10</v>
      </c>
      <c r="C204" t="s">
        <v>10</v>
      </c>
      <c r="D204" t="s">
        <v>40</v>
      </c>
      <c r="E204" t="s">
        <v>40</v>
      </c>
      <c r="F204" t="s">
        <v>53</v>
      </c>
      <c r="G204" t="s">
        <v>53</v>
      </c>
      <c r="H204" t="s">
        <v>362</v>
      </c>
      <c r="I204" t="s">
        <v>823</v>
      </c>
      <c r="J204" s="3" t="s">
        <v>824</v>
      </c>
      <c r="K204" s="3"/>
      <c r="L204" s="3" t="s">
        <v>12</v>
      </c>
      <c r="M204" s="3" t="s">
        <v>825</v>
      </c>
      <c r="N204" s="4">
        <v>950000</v>
      </c>
      <c r="O204" s="3" t="s">
        <v>607</v>
      </c>
      <c r="P204" s="3">
        <v>46094</v>
      </c>
      <c r="Q204" s="4">
        <v>46094</v>
      </c>
      <c r="R204" s="3" t="s">
        <v>608</v>
      </c>
      <c r="S204" s="3" t="s">
        <v>826</v>
      </c>
      <c r="T204" s="3" t="s">
        <v>23</v>
      </c>
      <c r="U204" s="3" t="s">
        <v>827</v>
      </c>
    </row>
    <row r="205" spans="1:21">
      <c r="A205">
        <v>3214</v>
      </c>
      <c r="B205" t="s">
        <v>10</v>
      </c>
      <c r="C205" t="s">
        <v>10</v>
      </c>
      <c r="D205" t="s">
        <v>40</v>
      </c>
      <c r="E205" t="s">
        <v>40</v>
      </c>
      <c r="F205" t="s">
        <v>53</v>
      </c>
      <c r="G205" t="s">
        <v>53</v>
      </c>
      <c r="H205" t="s">
        <v>362</v>
      </c>
      <c r="I205" t="s">
        <v>828</v>
      </c>
      <c r="J205" s="3" t="s">
        <v>829</v>
      </c>
      <c r="K205" s="3"/>
      <c r="L205" s="3" t="s">
        <v>12</v>
      </c>
      <c r="M205" s="3" t="s">
        <v>822</v>
      </c>
      <c r="N205" s="4">
        <v>1185000</v>
      </c>
      <c r="O205" s="3" t="s">
        <v>547</v>
      </c>
      <c r="P205" s="3">
        <v>82950.000000000015</v>
      </c>
      <c r="Q205" s="4">
        <v>82950.000000000015</v>
      </c>
      <c r="R205" s="3" t="s">
        <v>367</v>
      </c>
      <c r="S205" s="3" t="s">
        <v>4</v>
      </c>
      <c r="T205" s="3" t="s">
        <v>4</v>
      </c>
      <c r="U205" s="3"/>
    </row>
    <row r="206" spans="1:21">
      <c r="A206">
        <v>3145</v>
      </c>
      <c r="B206" t="s">
        <v>10</v>
      </c>
      <c r="C206" t="s">
        <v>10</v>
      </c>
      <c r="D206" t="s">
        <v>40</v>
      </c>
      <c r="E206" t="s">
        <v>40</v>
      </c>
      <c r="F206" t="s">
        <v>53</v>
      </c>
      <c r="G206" t="s">
        <v>53</v>
      </c>
      <c r="H206" t="s">
        <v>362</v>
      </c>
      <c r="I206" t="s">
        <v>830</v>
      </c>
      <c r="J206" s="3" t="s">
        <v>440</v>
      </c>
      <c r="K206" s="3"/>
      <c r="L206" s="3" t="s">
        <v>400</v>
      </c>
      <c r="M206" s="3" t="s">
        <v>374</v>
      </c>
      <c r="N206" s="4">
        <v>450000</v>
      </c>
      <c r="O206" s="3" t="s">
        <v>375</v>
      </c>
      <c r="P206" s="3">
        <v>25000</v>
      </c>
      <c r="Q206" s="4">
        <v>25000</v>
      </c>
      <c r="R206" s="3" t="s">
        <v>376</v>
      </c>
      <c r="S206" s="3" t="s">
        <v>4</v>
      </c>
      <c r="T206" s="3" t="s">
        <v>4</v>
      </c>
      <c r="U206" s="3"/>
    </row>
    <row r="207" spans="1:21">
      <c r="A207">
        <v>3328</v>
      </c>
      <c r="B207" t="s">
        <v>10</v>
      </c>
      <c r="C207" t="s">
        <v>10</v>
      </c>
      <c r="D207" t="s">
        <v>40</v>
      </c>
      <c r="E207" t="s">
        <v>40</v>
      </c>
      <c r="F207" t="s">
        <v>53</v>
      </c>
      <c r="G207" t="s">
        <v>53</v>
      </c>
      <c r="H207" t="s">
        <v>275</v>
      </c>
      <c r="I207" t="s">
        <v>831</v>
      </c>
      <c r="J207" s="3" t="s">
        <v>832</v>
      </c>
      <c r="K207" s="3"/>
      <c r="L207" s="3" t="s">
        <v>144</v>
      </c>
      <c r="M207" s="3" t="s">
        <v>450</v>
      </c>
      <c r="N207" s="4">
        <v>3000000</v>
      </c>
      <c r="O207" s="3" t="s">
        <v>833</v>
      </c>
      <c r="P207" s="3">
        <v>240000</v>
      </c>
      <c r="Q207" s="4">
        <v>240000</v>
      </c>
      <c r="R207" s="3" t="s">
        <v>834</v>
      </c>
      <c r="S207" s="3" t="s">
        <v>4</v>
      </c>
      <c r="T207" s="3" t="s">
        <v>4</v>
      </c>
      <c r="U207" s="3"/>
    </row>
    <row r="208" spans="1:21">
      <c r="A208">
        <v>3060</v>
      </c>
      <c r="B208" t="s">
        <v>10</v>
      </c>
      <c r="C208" t="s">
        <v>10</v>
      </c>
      <c r="D208" t="s">
        <v>40</v>
      </c>
      <c r="E208" t="s">
        <v>40</v>
      </c>
      <c r="F208" t="s">
        <v>53</v>
      </c>
      <c r="G208" t="s">
        <v>53</v>
      </c>
      <c r="H208" t="s">
        <v>392</v>
      </c>
      <c r="I208" t="s">
        <v>835</v>
      </c>
      <c r="J208" s="3" t="s">
        <v>836</v>
      </c>
      <c r="K208" s="3"/>
      <c r="L208" s="3" t="s">
        <v>166</v>
      </c>
      <c r="M208" s="3" t="s">
        <v>411</v>
      </c>
      <c r="N208" s="4">
        <v>1700000</v>
      </c>
      <c r="O208" s="3" t="s">
        <v>837</v>
      </c>
      <c r="P208" s="3">
        <v>141610</v>
      </c>
      <c r="Q208" s="4">
        <v>141610</v>
      </c>
      <c r="R208" s="3" t="s">
        <v>147</v>
      </c>
      <c r="S208" s="3" t="s">
        <v>4</v>
      </c>
      <c r="T208" s="3" t="s">
        <v>4</v>
      </c>
      <c r="U208" s="3"/>
    </row>
    <row r="209" spans="1:21">
      <c r="A209">
        <v>3278</v>
      </c>
      <c r="B209" t="s">
        <v>10</v>
      </c>
      <c r="C209" t="s">
        <v>10</v>
      </c>
      <c r="D209" t="s">
        <v>40</v>
      </c>
      <c r="E209" t="s">
        <v>40</v>
      </c>
      <c r="F209" t="s">
        <v>53</v>
      </c>
      <c r="G209" t="s">
        <v>53</v>
      </c>
      <c r="H209" t="s">
        <v>392</v>
      </c>
      <c r="I209" t="s">
        <v>838</v>
      </c>
      <c r="J209" s="3" t="s">
        <v>839</v>
      </c>
      <c r="K209" s="3"/>
      <c r="L209" s="3" t="s">
        <v>166</v>
      </c>
      <c r="M209" s="3" t="s">
        <v>498</v>
      </c>
      <c r="N209" s="4">
        <v>4400000</v>
      </c>
      <c r="O209" s="3" t="s">
        <v>840</v>
      </c>
      <c r="P209" s="3">
        <v>366520</v>
      </c>
      <c r="Q209" s="4">
        <v>366520</v>
      </c>
      <c r="R209" s="3" t="s">
        <v>290</v>
      </c>
      <c r="S209" s="3" t="s">
        <v>4</v>
      </c>
      <c r="T209" s="3" t="s">
        <v>4</v>
      </c>
      <c r="U209" s="3"/>
    </row>
    <row r="210" spans="1:21" ht="27.6">
      <c r="A210">
        <v>3167</v>
      </c>
      <c r="B210" t="s">
        <v>10</v>
      </c>
      <c r="C210" t="s">
        <v>10</v>
      </c>
      <c r="D210" t="s">
        <v>40</v>
      </c>
      <c r="E210" t="s">
        <v>40</v>
      </c>
      <c r="G210" t="s">
        <v>54</v>
      </c>
      <c r="H210" t="s">
        <v>679</v>
      </c>
      <c r="I210" t="s">
        <v>841</v>
      </c>
      <c r="J210" s="3" t="s">
        <v>842</v>
      </c>
      <c r="K210" s="3"/>
      <c r="L210" s="3" t="s">
        <v>12</v>
      </c>
      <c r="M210" s="3" t="s">
        <v>843</v>
      </c>
      <c r="N210" s="4">
        <v>450000</v>
      </c>
      <c r="O210" s="3" t="s">
        <v>844</v>
      </c>
      <c r="P210" s="3">
        <v>37485</v>
      </c>
      <c r="Q210" s="4">
        <v>37485</v>
      </c>
      <c r="R210" s="3" t="s">
        <v>845</v>
      </c>
      <c r="S210" s="3" t="s">
        <v>4</v>
      </c>
      <c r="T210" s="3" t="s">
        <v>4</v>
      </c>
      <c r="U210" s="3" t="s">
        <v>846</v>
      </c>
    </row>
    <row r="211" spans="1:21" ht="27.6">
      <c r="A211">
        <v>3269</v>
      </c>
      <c r="B211" t="s">
        <v>10</v>
      </c>
      <c r="C211" t="s">
        <v>10</v>
      </c>
      <c r="D211" t="s">
        <v>40</v>
      </c>
      <c r="E211" t="s">
        <v>40</v>
      </c>
      <c r="G211" t="s">
        <v>54</v>
      </c>
      <c r="H211" t="s">
        <v>679</v>
      </c>
      <c r="I211" t="s">
        <v>847</v>
      </c>
      <c r="J211" s="3" t="s">
        <v>848</v>
      </c>
      <c r="K211" s="3"/>
      <c r="L211" s="3" t="s">
        <v>12</v>
      </c>
      <c r="M211" s="3" t="s">
        <v>299</v>
      </c>
      <c r="N211" s="4">
        <v>444000</v>
      </c>
      <c r="O211" s="3" t="s">
        <v>849</v>
      </c>
      <c r="P211" s="3">
        <v>36985.199999999997</v>
      </c>
      <c r="Q211" s="4">
        <v>36985.199999999997</v>
      </c>
      <c r="R211" s="3" t="s">
        <v>845</v>
      </c>
      <c r="S211" s="3" t="s">
        <v>4</v>
      </c>
      <c r="T211" s="3" t="s">
        <v>4</v>
      </c>
      <c r="U211" s="3" t="s">
        <v>846</v>
      </c>
    </row>
    <row r="212" spans="1:21" ht="27.6">
      <c r="A212">
        <v>3108</v>
      </c>
      <c r="B212" t="s">
        <v>10</v>
      </c>
      <c r="C212" t="s">
        <v>10</v>
      </c>
      <c r="D212" t="s">
        <v>40</v>
      </c>
      <c r="E212" t="s">
        <v>40</v>
      </c>
      <c r="G212" t="s">
        <v>54</v>
      </c>
      <c r="H212" t="s">
        <v>679</v>
      </c>
      <c r="I212" t="s">
        <v>850</v>
      </c>
      <c r="J212" s="3" t="s">
        <v>681</v>
      </c>
      <c r="K212" s="3"/>
      <c r="L212" s="3" t="s">
        <v>12</v>
      </c>
      <c r="M212" s="3" t="s">
        <v>278</v>
      </c>
      <c r="N212" s="4">
        <v>612000</v>
      </c>
      <c r="O212" s="3" t="s">
        <v>851</v>
      </c>
      <c r="P212" s="3">
        <v>50979.6</v>
      </c>
      <c r="Q212" s="4">
        <v>50979.6</v>
      </c>
      <c r="R212" s="3" t="s">
        <v>425</v>
      </c>
      <c r="S212" s="3" t="s">
        <v>4</v>
      </c>
      <c r="T212" s="3" t="s">
        <v>4</v>
      </c>
      <c r="U212" s="3" t="s">
        <v>846</v>
      </c>
    </row>
    <row r="213" spans="1:21" ht="27.6">
      <c r="A213">
        <v>3325</v>
      </c>
      <c r="B213" t="s">
        <v>10</v>
      </c>
      <c r="C213" t="s">
        <v>10</v>
      </c>
      <c r="D213" t="s">
        <v>40</v>
      </c>
      <c r="E213" t="s">
        <v>40</v>
      </c>
      <c r="G213" t="s">
        <v>54</v>
      </c>
      <c r="H213" t="s">
        <v>362</v>
      </c>
      <c r="I213" t="s">
        <v>852</v>
      </c>
      <c r="J213" s="3" t="s">
        <v>532</v>
      </c>
      <c r="K213" s="3"/>
      <c r="L213" s="3" t="s">
        <v>12</v>
      </c>
      <c r="M213" s="3" t="s">
        <v>305</v>
      </c>
      <c r="N213" s="4">
        <v>1646004</v>
      </c>
      <c r="O213" s="3" t="s">
        <v>583</v>
      </c>
      <c r="P213" s="3" t="s">
        <v>853</v>
      </c>
      <c r="Q213" s="4">
        <v>115220.28</v>
      </c>
      <c r="R213" s="3" t="s">
        <v>495</v>
      </c>
      <c r="S213" s="3" t="s">
        <v>4</v>
      </c>
      <c r="T213" s="3" t="s">
        <v>4</v>
      </c>
      <c r="U213" s="3" t="s">
        <v>846</v>
      </c>
    </row>
    <row r="214" spans="1:21" ht="27.6">
      <c r="A214">
        <v>3326</v>
      </c>
      <c r="B214" t="s">
        <v>10</v>
      </c>
      <c r="C214" t="s">
        <v>10</v>
      </c>
      <c r="D214" t="s">
        <v>40</v>
      </c>
      <c r="E214" t="s">
        <v>40</v>
      </c>
      <c r="G214" t="s">
        <v>54</v>
      </c>
      <c r="H214" t="s">
        <v>362</v>
      </c>
      <c r="I214" t="s">
        <v>854</v>
      </c>
      <c r="J214" s="3" t="s">
        <v>532</v>
      </c>
      <c r="K214" s="3"/>
      <c r="L214" s="3" t="s">
        <v>12</v>
      </c>
      <c r="M214" s="3" t="s">
        <v>305</v>
      </c>
      <c r="N214" s="4">
        <v>1709508</v>
      </c>
      <c r="O214" s="3" t="s">
        <v>583</v>
      </c>
      <c r="P214" s="3" t="s">
        <v>855</v>
      </c>
      <c r="Q214" s="4">
        <v>119665.56</v>
      </c>
      <c r="R214" s="3" t="s">
        <v>495</v>
      </c>
      <c r="S214" s="3" t="s">
        <v>4</v>
      </c>
      <c r="T214" s="3" t="s">
        <v>4</v>
      </c>
      <c r="U214" s="3" t="s">
        <v>846</v>
      </c>
    </row>
    <row r="215" spans="1:21" ht="27.6">
      <c r="A215">
        <v>3395</v>
      </c>
      <c r="B215" t="s">
        <v>10</v>
      </c>
      <c r="C215" t="s">
        <v>10</v>
      </c>
      <c r="D215" t="s">
        <v>40</v>
      </c>
      <c r="E215" t="s">
        <v>40</v>
      </c>
      <c r="G215" t="s">
        <v>54</v>
      </c>
      <c r="H215" t="s">
        <v>275</v>
      </c>
      <c r="I215" t="s">
        <v>856</v>
      </c>
      <c r="J215" s="3" t="s">
        <v>857</v>
      </c>
      <c r="K215" s="3"/>
      <c r="L215" s="3" t="s">
        <v>144</v>
      </c>
      <c r="M215" s="3" t="s">
        <v>858</v>
      </c>
      <c r="N215" s="4">
        <v>1900000</v>
      </c>
      <c r="O215" s="3" t="s">
        <v>564</v>
      </c>
      <c r="P215" s="3" t="s">
        <v>859</v>
      </c>
      <c r="Q215" s="4">
        <v>152000</v>
      </c>
      <c r="R215" s="3" t="s">
        <v>566</v>
      </c>
      <c r="S215" s="3" t="s">
        <v>19</v>
      </c>
      <c r="T215" s="3" t="s">
        <v>19</v>
      </c>
      <c r="U215" s="3" t="s">
        <v>846</v>
      </c>
    </row>
    <row r="216" spans="1:21" ht="27.6">
      <c r="A216">
        <v>3329</v>
      </c>
      <c r="B216" t="s">
        <v>10</v>
      </c>
      <c r="C216" t="s">
        <v>10</v>
      </c>
      <c r="D216" t="s">
        <v>40</v>
      </c>
      <c r="E216" t="s">
        <v>40</v>
      </c>
      <c r="G216" t="s">
        <v>54</v>
      </c>
      <c r="H216" t="s">
        <v>572</v>
      </c>
      <c r="I216" t="s">
        <v>860</v>
      </c>
      <c r="J216" s="3" t="s">
        <v>861</v>
      </c>
      <c r="K216" s="3"/>
      <c r="L216" s="3" t="s">
        <v>315</v>
      </c>
      <c r="M216" s="3" t="s">
        <v>305</v>
      </c>
      <c r="N216" s="4">
        <v>520011</v>
      </c>
      <c r="O216" s="3" t="s">
        <v>657</v>
      </c>
      <c r="P216" s="3">
        <v>43316.91</v>
      </c>
      <c r="Q216" s="4">
        <v>43316.91</v>
      </c>
      <c r="R216" s="3" t="s">
        <v>658</v>
      </c>
      <c r="S216" s="3" t="s">
        <v>4</v>
      </c>
      <c r="T216" s="3" t="s">
        <v>4</v>
      </c>
      <c r="U216" s="3" t="s">
        <v>846</v>
      </c>
    </row>
    <row r="217" spans="1:21" ht="27.6">
      <c r="A217">
        <v>3026</v>
      </c>
      <c r="B217" t="s">
        <v>10</v>
      </c>
      <c r="C217" t="s">
        <v>10</v>
      </c>
      <c r="D217" t="s">
        <v>40</v>
      </c>
      <c r="E217" t="s">
        <v>40</v>
      </c>
      <c r="G217" t="s">
        <v>54</v>
      </c>
      <c r="H217" t="s">
        <v>474</v>
      </c>
      <c r="I217" t="s">
        <v>862</v>
      </c>
      <c r="J217" s="3" t="s">
        <v>863</v>
      </c>
      <c r="K217" s="3"/>
      <c r="L217" s="3" t="s">
        <v>144</v>
      </c>
      <c r="M217" s="3" t="s">
        <v>864</v>
      </c>
      <c r="N217" s="4">
        <v>1292000</v>
      </c>
      <c r="O217" s="3" t="s">
        <v>865</v>
      </c>
      <c r="P217" s="3">
        <v>107623.6</v>
      </c>
      <c r="Q217" s="4">
        <v>107623.6</v>
      </c>
      <c r="R217" s="3" t="s">
        <v>387</v>
      </c>
      <c r="S217" s="3" t="s">
        <v>4</v>
      </c>
      <c r="T217" s="3" t="s">
        <v>4</v>
      </c>
      <c r="U217" s="3" t="s">
        <v>846</v>
      </c>
    </row>
    <row r="218" spans="1:21">
      <c r="A218">
        <v>3251</v>
      </c>
      <c r="B218" t="s">
        <v>10</v>
      </c>
      <c r="C218" t="s">
        <v>10</v>
      </c>
      <c r="D218" t="s">
        <v>40</v>
      </c>
      <c r="E218" t="s">
        <v>40</v>
      </c>
      <c r="F218" t="s">
        <v>55</v>
      </c>
      <c r="G218" t="s">
        <v>55</v>
      </c>
      <c r="H218" t="s">
        <v>362</v>
      </c>
      <c r="I218" t="s">
        <v>866</v>
      </c>
      <c r="J218" s="3" t="s">
        <v>867</v>
      </c>
      <c r="K218" s="3"/>
      <c r="L218" s="3" t="s">
        <v>12</v>
      </c>
      <c r="M218" s="3" t="s">
        <v>868</v>
      </c>
      <c r="N218" s="4">
        <v>1270000</v>
      </c>
      <c r="O218" s="3" t="s">
        <v>539</v>
      </c>
      <c r="P218" s="3">
        <v>0</v>
      </c>
      <c r="Q218" s="4">
        <v>0</v>
      </c>
      <c r="R218" s="3"/>
      <c r="S218" s="3" t="s">
        <v>21</v>
      </c>
      <c r="T218" s="3" t="s">
        <v>21</v>
      </c>
      <c r="U218" s="3"/>
    </row>
    <row r="219" spans="1:21">
      <c r="A219">
        <v>3118</v>
      </c>
      <c r="B219" t="s">
        <v>10</v>
      </c>
      <c r="C219" t="s">
        <v>10</v>
      </c>
      <c r="D219" t="s">
        <v>40</v>
      </c>
      <c r="E219" t="s">
        <v>40</v>
      </c>
      <c r="F219" t="s">
        <v>55</v>
      </c>
      <c r="G219" t="s">
        <v>55</v>
      </c>
      <c r="H219" t="s">
        <v>362</v>
      </c>
      <c r="I219" t="s">
        <v>869</v>
      </c>
      <c r="J219" s="3" t="s">
        <v>870</v>
      </c>
      <c r="K219" s="3"/>
      <c r="L219" s="3" t="s">
        <v>12</v>
      </c>
      <c r="M219" s="3" t="s">
        <v>785</v>
      </c>
      <c r="N219" s="4">
        <v>3000000</v>
      </c>
      <c r="O219" s="3" t="s">
        <v>375</v>
      </c>
      <c r="P219" s="3">
        <v>249900</v>
      </c>
      <c r="Q219" s="4">
        <v>249900</v>
      </c>
      <c r="R219" s="3" t="s">
        <v>376</v>
      </c>
      <c r="S219" s="3" t="s">
        <v>4</v>
      </c>
      <c r="T219" s="3" t="s">
        <v>4</v>
      </c>
      <c r="U219" s="3"/>
    </row>
    <row r="220" spans="1:21">
      <c r="A220">
        <v>3388</v>
      </c>
      <c r="B220" t="s">
        <v>10</v>
      </c>
      <c r="C220" t="s">
        <v>10</v>
      </c>
      <c r="D220" t="s">
        <v>40</v>
      </c>
      <c r="E220" t="s">
        <v>40</v>
      </c>
      <c r="F220" t="s">
        <v>55</v>
      </c>
      <c r="G220" t="s">
        <v>55</v>
      </c>
      <c r="H220" t="s">
        <v>362</v>
      </c>
      <c r="I220" t="s">
        <v>871</v>
      </c>
      <c r="J220" s="3" t="s">
        <v>872</v>
      </c>
      <c r="K220" s="3"/>
      <c r="L220" s="3" t="s">
        <v>12</v>
      </c>
      <c r="M220" s="3" t="s">
        <v>873</v>
      </c>
      <c r="N220" s="4">
        <v>2700000</v>
      </c>
      <c r="O220" s="3" t="s">
        <v>874</v>
      </c>
      <c r="P220" s="3" t="s">
        <v>875</v>
      </c>
      <c r="Q220" s="4">
        <v>224910</v>
      </c>
      <c r="R220" s="3" t="s">
        <v>876</v>
      </c>
      <c r="S220" s="3" t="s">
        <v>4</v>
      </c>
      <c r="T220" s="3" t="s">
        <v>4</v>
      </c>
      <c r="U220" s="3"/>
    </row>
    <row r="221" spans="1:21">
      <c r="A221">
        <v>3025</v>
      </c>
      <c r="B221" t="s">
        <v>10</v>
      </c>
      <c r="C221" t="s">
        <v>10</v>
      </c>
      <c r="D221" t="s">
        <v>40</v>
      </c>
      <c r="E221" t="s">
        <v>40</v>
      </c>
      <c r="F221" t="s">
        <v>55</v>
      </c>
      <c r="G221" t="s">
        <v>55</v>
      </c>
      <c r="H221" t="s">
        <v>275</v>
      </c>
      <c r="I221" t="s">
        <v>877</v>
      </c>
      <c r="J221" s="3"/>
      <c r="K221" s="3"/>
      <c r="L221" s="3" t="s">
        <v>144</v>
      </c>
      <c r="M221" s="3" t="s">
        <v>878</v>
      </c>
      <c r="N221" s="4">
        <v>3100000</v>
      </c>
      <c r="O221" s="3" t="s">
        <v>879</v>
      </c>
      <c r="P221" s="3">
        <v>310000</v>
      </c>
      <c r="Q221" s="4">
        <v>310000</v>
      </c>
      <c r="R221" s="3" t="s">
        <v>880</v>
      </c>
      <c r="S221" s="3" t="s">
        <v>4</v>
      </c>
      <c r="T221" s="3" t="s">
        <v>4</v>
      </c>
      <c r="U221" s="3"/>
    </row>
    <row r="222" spans="1:21">
      <c r="A222">
        <v>3064</v>
      </c>
      <c r="B222" t="s">
        <v>10</v>
      </c>
      <c r="C222" t="s">
        <v>10</v>
      </c>
      <c r="D222" t="s">
        <v>40</v>
      </c>
      <c r="E222" t="s">
        <v>40</v>
      </c>
      <c r="F222" t="s">
        <v>55</v>
      </c>
      <c r="G222" t="s">
        <v>55</v>
      </c>
      <c r="H222" t="s">
        <v>275</v>
      </c>
      <c r="I222" t="s">
        <v>881</v>
      </c>
      <c r="J222" s="3" t="s">
        <v>882</v>
      </c>
      <c r="K222" s="3"/>
      <c r="L222" s="3" t="s">
        <v>144</v>
      </c>
      <c r="M222" s="3" t="s">
        <v>321</v>
      </c>
      <c r="N222" s="4">
        <v>2050000</v>
      </c>
      <c r="O222" s="3" t="s">
        <v>883</v>
      </c>
      <c r="P222" s="3">
        <v>164000</v>
      </c>
      <c r="Q222" s="4">
        <v>164000</v>
      </c>
      <c r="R222" s="3" t="s">
        <v>387</v>
      </c>
      <c r="S222" s="3" t="s">
        <v>4</v>
      </c>
      <c r="T222" s="3" t="s">
        <v>4</v>
      </c>
      <c r="U222" s="3"/>
    </row>
    <row r="223" spans="1:21">
      <c r="A223">
        <v>3371</v>
      </c>
      <c r="B223" t="s">
        <v>10</v>
      </c>
      <c r="C223" t="s">
        <v>10</v>
      </c>
      <c r="D223" t="s">
        <v>40</v>
      </c>
      <c r="E223" t="s">
        <v>40</v>
      </c>
      <c r="F223" t="s">
        <v>55</v>
      </c>
      <c r="G223" t="s">
        <v>55</v>
      </c>
      <c r="H223" t="s">
        <v>275</v>
      </c>
      <c r="I223" t="s">
        <v>884</v>
      </c>
      <c r="J223" s="3" t="s">
        <v>885</v>
      </c>
      <c r="K223" s="3"/>
      <c r="L223" s="3" t="s">
        <v>144</v>
      </c>
      <c r="M223" s="3" t="s">
        <v>468</v>
      </c>
      <c r="N223" s="4" t="s">
        <v>886</v>
      </c>
      <c r="O223" s="3" t="s">
        <v>887</v>
      </c>
      <c r="P223" s="3" t="s">
        <v>571</v>
      </c>
      <c r="Q223" s="4">
        <v>208000</v>
      </c>
      <c r="R223" s="3" t="s">
        <v>216</v>
      </c>
      <c r="S223" s="3" t="s">
        <v>4</v>
      </c>
      <c r="T223" s="3" t="s">
        <v>4</v>
      </c>
      <c r="U223" s="3"/>
    </row>
    <row r="224" spans="1:21">
      <c r="A224">
        <v>3176</v>
      </c>
      <c r="B224" t="s">
        <v>10</v>
      </c>
      <c r="C224" t="s">
        <v>10</v>
      </c>
      <c r="D224" t="s">
        <v>40</v>
      </c>
      <c r="E224" t="s">
        <v>40</v>
      </c>
      <c r="F224" t="s">
        <v>55</v>
      </c>
      <c r="G224" t="s">
        <v>55</v>
      </c>
      <c r="H224" t="s">
        <v>275</v>
      </c>
      <c r="I224" t="s">
        <v>888</v>
      </c>
      <c r="J224" s="3" t="s">
        <v>889</v>
      </c>
      <c r="K224" s="3"/>
      <c r="L224" s="3" t="s">
        <v>144</v>
      </c>
      <c r="M224" s="3" t="s">
        <v>370</v>
      </c>
      <c r="N224" s="4">
        <v>3700000</v>
      </c>
      <c r="O224" s="3" t="s">
        <v>890</v>
      </c>
      <c r="P224" s="3">
        <v>296000</v>
      </c>
      <c r="Q224" s="4">
        <v>296000</v>
      </c>
      <c r="R224" s="3" t="s">
        <v>891</v>
      </c>
      <c r="S224" s="3" t="s">
        <v>4</v>
      </c>
      <c r="T224" s="3" t="s">
        <v>4</v>
      </c>
      <c r="U224" s="3"/>
    </row>
    <row r="225" spans="1:21">
      <c r="A225">
        <v>3447</v>
      </c>
      <c r="B225" t="s">
        <v>10</v>
      </c>
      <c r="C225" t="s">
        <v>10</v>
      </c>
      <c r="D225" t="s">
        <v>40</v>
      </c>
      <c r="E225" t="s">
        <v>40</v>
      </c>
      <c r="F225" t="s">
        <v>55</v>
      </c>
      <c r="G225" t="s">
        <v>55</v>
      </c>
      <c r="H225" t="s">
        <v>275</v>
      </c>
      <c r="I225" t="s">
        <v>892</v>
      </c>
      <c r="J225" s="3" t="s">
        <v>893</v>
      </c>
      <c r="K225" s="3"/>
      <c r="L225" s="3" t="s">
        <v>894</v>
      </c>
      <c r="M225" s="3" t="s">
        <v>243</v>
      </c>
      <c r="N225" s="4">
        <v>1900000</v>
      </c>
      <c r="O225" s="3" t="s">
        <v>570</v>
      </c>
      <c r="P225" s="3" t="s">
        <v>859</v>
      </c>
      <c r="Q225" s="4">
        <v>152000</v>
      </c>
      <c r="R225" s="3" t="s">
        <v>361</v>
      </c>
      <c r="S225" s="3" t="s">
        <v>19</v>
      </c>
      <c r="T225" s="3" t="s">
        <v>19</v>
      </c>
      <c r="U225" s="3"/>
    </row>
    <row r="226" spans="1:21">
      <c r="A226">
        <v>3390</v>
      </c>
      <c r="B226" t="s">
        <v>10</v>
      </c>
      <c r="C226" t="s">
        <v>10</v>
      </c>
      <c r="D226" t="s">
        <v>40</v>
      </c>
      <c r="E226" t="s">
        <v>40</v>
      </c>
      <c r="F226" t="s">
        <v>55</v>
      </c>
      <c r="G226" t="s">
        <v>55</v>
      </c>
      <c r="H226" t="s">
        <v>275</v>
      </c>
      <c r="I226" t="s">
        <v>895</v>
      </c>
      <c r="J226" s="3" t="s">
        <v>896</v>
      </c>
      <c r="K226" s="3"/>
      <c r="L226" s="3" t="s">
        <v>897</v>
      </c>
      <c r="M226" s="3" t="s">
        <v>254</v>
      </c>
      <c r="N226" s="4" t="s">
        <v>898</v>
      </c>
      <c r="O226" s="3" t="s">
        <v>564</v>
      </c>
      <c r="P226" s="3" t="s">
        <v>899</v>
      </c>
      <c r="Q226" s="4">
        <v>375000</v>
      </c>
      <c r="R226" s="3" t="s">
        <v>566</v>
      </c>
      <c r="S226" s="3" t="s">
        <v>19</v>
      </c>
      <c r="T226" s="3" t="s">
        <v>19</v>
      </c>
      <c r="U226" s="3"/>
    </row>
    <row r="227" spans="1:21">
      <c r="A227">
        <v>3215</v>
      </c>
      <c r="B227" t="s">
        <v>10</v>
      </c>
      <c r="C227" t="s">
        <v>10</v>
      </c>
      <c r="D227" t="s">
        <v>40</v>
      </c>
      <c r="E227" t="s">
        <v>40</v>
      </c>
      <c r="F227" t="s">
        <v>55</v>
      </c>
      <c r="G227" t="s">
        <v>55</v>
      </c>
      <c r="H227" t="s">
        <v>474</v>
      </c>
      <c r="I227" t="s">
        <v>900</v>
      </c>
      <c r="J227" s="3" t="s">
        <v>901</v>
      </c>
      <c r="K227" s="3"/>
      <c r="L227" s="3" t="s">
        <v>8</v>
      </c>
      <c r="M227" s="3" t="s">
        <v>822</v>
      </c>
      <c r="N227" s="4">
        <v>915000</v>
      </c>
      <c r="O227" s="3" t="s">
        <v>902</v>
      </c>
      <c r="P227" s="3">
        <v>76219.5</v>
      </c>
      <c r="Q227" s="4">
        <v>76219.5</v>
      </c>
      <c r="R227" s="3" t="s">
        <v>285</v>
      </c>
      <c r="S227" s="3" t="s">
        <v>517</v>
      </c>
      <c r="T227" s="3" t="s">
        <v>22</v>
      </c>
      <c r="U227" s="3"/>
    </row>
    <row r="228" spans="1:21">
      <c r="A228">
        <v>3107</v>
      </c>
      <c r="B228" t="s">
        <v>10</v>
      </c>
      <c r="C228" t="s">
        <v>10</v>
      </c>
      <c r="D228" t="s">
        <v>40</v>
      </c>
      <c r="E228" t="s">
        <v>40</v>
      </c>
      <c r="F228" t="s">
        <v>55</v>
      </c>
      <c r="G228" t="s">
        <v>55</v>
      </c>
      <c r="H228" t="s">
        <v>474</v>
      </c>
      <c r="I228" t="s">
        <v>903</v>
      </c>
      <c r="J228" s="3" t="s">
        <v>904</v>
      </c>
      <c r="K228" s="3"/>
      <c r="L228" s="3" t="s">
        <v>12</v>
      </c>
      <c r="M228" s="3" t="s">
        <v>278</v>
      </c>
      <c r="N228" s="4">
        <v>1292000</v>
      </c>
      <c r="O228" s="3" t="s">
        <v>905</v>
      </c>
      <c r="P228" s="3">
        <v>107623.6</v>
      </c>
      <c r="Q228" s="4">
        <v>107623.6</v>
      </c>
      <c r="R228" s="3" t="s">
        <v>376</v>
      </c>
      <c r="S228" s="3" t="s">
        <v>4</v>
      </c>
      <c r="T228" s="3" t="s">
        <v>4</v>
      </c>
      <c r="U228" s="3"/>
    </row>
    <row r="229" spans="1:21">
      <c r="A229">
        <v>3344</v>
      </c>
      <c r="B229" t="s">
        <v>11</v>
      </c>
      <c r="C229" t="s">
        <v>11</v>
      </c>
      <c r="D229" t="s">
        <v>56</v>
      </c>
      <c r="E229" t="s">
        <v>56</v>
      </c>
      <c r="F229" t="s">
        <v>57</v>
      </c>
      <c r="G229" t="s">
        <v>57</v>
      </c>
      <c r="H229" t="s">
        <v>906</v>
      </c>
      <c r="I229" t="s">
        <v>907</v>
      </c>
      <c r="J229" s="3" t="s">
        <v>908</v>
      </c>
      <c r="K229" s="3"/>
      <c r="L229" s="3" t="s">
        <v>909</v>
      </c>
      <c r="M229" s="3" t="s">
        <v>910</v>
      </c>
      <c r="N229" s="4">
        <v>2050008</v>
      </c>
      <c r="O229" s="3" t="s">
        <v>911</v>
      </c>
      <c r="P229" s="3" t="s">
        <v>912</v>
      </c>
      <c r="Q229" s="4">
        <v>143500.56</v>
      </c>
      <c r="R229" s="3" t="s">
        <v>557</v>
      </c>
      <c r="S229" s="3" t="s">
        <v>4</v>
      </c>
      <c r="T229" s="3" t="s">
        <v>4</v>
      </c>
      <c r="U229" s="3"/>
    </row>
    <row r="230" spans="1:21">
      <c r="A230">
        <v>3505</v>
      </c>
      <c r="B230" t="s">
        <v>11</v>
      </c>
      <c r="C230" t="s">
        <v>11</v>
      </c>
      <c r="D230" t="s">
        <v>56</v>
      </c>
      <c r="E230" t="s">
        <v>56</v>
      </c>
      <c r="F230" t="s">
        <v>58</v>
      </c>
      <c r="G230" t="s">
        <v>58</v>
      </c>
      <c r="H230" t="s">
        <v>913</v>
      </c>
      <c r="I230" t="s">
        <v>914</v>
      </c>
      <c r="J230" s="3" t="s">
        <v>915</v>
      </c>
      <c r="K230" s="3"/>
      <c r="L230" s="3" t="s">
        <v>916</v>
      </c>
      <c r="M230" s="3">
        <v>46258</v>
      </c>
      <c r="N230" s="4" t="s">
        <v>917</v>
      </c>
      <c r="O230" s="3" t="s">
        <v>918</v>
      </c>
      <c r="P230" s="3" t="s">
        <v>919</v>
      </c>
      <c r="Q230" s="4">
        <v>157500</v>
      </c>
      <c r="R230" s="3" t="s">
        <v>920</v>
      </c>
      <c r="S230" s="3" t="s">
        <v>4</v>
      </c>
      <c r="T230" s="3" t="s">
        <v>4</v>
      </c>
      <c r="U230" s="3"/>
    </row>
    <row r="231" spans="1:21">
      <c r="A231">
        <v>3418</v>
      </c>
      <c r="B231" t="s">
        <v>11</v>
      </c>
      <c r="C231" t="s">
        <v>11</v>
      </c>
      <c r="D231" t="s">
        <v>56</v>
      </c>
      <c r="E231" t="s">
        <v>56</v>
      </c>
      <c r="F231" t="s">
        <v>58</v>
      </c>
      <c r="G231" t="s">
        <v>58</v>
      </c>
      <c r="H231" t="s">
        <v>921</v>
      </c>
      <c r="I231" t="s">
        <v>922</v>
      </c>
      <c r="J231" s="3" t="s">
        <v>923</v>
      </c>
      <c r="K231" s="3"/>
      <c r="L231" s="3" t="s">
        <v>12</v>
      </c>
      <c r="M231" s="3">
        <v>46219</v>
      </c>
      <c r="N231" s="4" t="s">
        <v>924</v>
      </c>
      <c r="O231" s="3" t="s">
        <v>925</v>
      </c>
      <c r="P231" s="3" t="s">
        <v>926</v>
      </c>
      <c r="Q231" s="4">
        <v>308209.65999999997</v>
      </c>
      <c r="R231" s="3" t="s">
        <v>263</v>
      </c>
      <c r="S231" s="3" t="s">
        <v>4</v>
      </c>
      <c r="T231" s="3" t="s">
        <v>4</v>
      </c>
      <c r="U231" s="3"/>
    </row>
    <row r="232" spans="1:21">
      <c r="A232">
        <v>3086</v>
      </c>
      <c r="B232" t="s">
        <v>11</v>
      </c>
      <c r="C232" t="s">
        <v>11</v>
      </c>
      <c r="D232" t="s">
        <v>56</v>
      </c>
      <c r="E232" t="s">
        <v>56</v>
      </c>
      <c r="F232" t="s">
        <v>56</v>
      </c>
      <c r="G232" t="s">
        <v>56</v>
      </c>
      <c r="H232" t="s">
        <v>927</v>
      </c>
      <c r="I232" t="s">
        <v>928</v>
      </c>
      <c r="J232" s="3" t="s">
        <v>929</v>
      </c>
      <c r="K232" s="3"/>
      <c r="L232" s="3" t="s">
        <v>930</v>
      </c>
      <c r="M232" s="3">
        <v>46078</v>
      </c>
      <c r="N232" s="4">
        <v>2350000</v>
      </c>
      <c r="O232" s="3" t="s">
        <v>931</v>
      </c>
      <c r="P232" s="3">
        <v>195755</v>
      </c>
      <c r="Q232" s="4">
        <v>195755</v>
      </c>
      <c r="R232" s="3" t="s">
        <v>932</v>
      </c>
      <c r="S232" s="3" t="s">
        <v>4</v>
      </c>
      <c r="T232" s="3" t="s">
        <v>4</v>
      </c>
      <c r="U232" s="3"/>
    </row>
    <row r="233" spans="1:21">
      <c r="A233">
        <v>3405</v>
      </c>
      <c r="B233" t="s">
        <v>11</v>
      </c>
      <c r="C233" t="s">
        <v>11</v>
      </c>
      <c r="D233" t="s">
        <v>56</v>
      </c>
      <c r="E233" t="s">
        <v>56</v>
      </c>
      <c r="F233" t="s">
        <v>56</v>
      </c>
      <c r="G233" t="s">
        <v>56</v>
      </c>
      <c r="H233" t="s">
        <v>816</v>
      </c>
      <c r="I233" t="s">
        <v>933</v>
      </c>
      <c r="J233" s="3" t="s">
        <v>934</v>
      </c>
      <c r="K233" s="3"/>
      <c r="L233" s="3" t="s">
        <v>10</v>
      </c>
      <c r="M233" s="3">
        <v>46209</v>
      </c>
      <c r="N233" s="4">
        <v>1425608</v>
      </c>
      <c r="O233" s="3" t="s">
        <v>805</v>
      </c>
      <c r="P233" s="3" t="s">
        <v>935</v>
      </c>
      <c r="Q233" s="4">
        <v>190033.55</v>
      </c>
      <c r="R233" s="3" t="s">
        <v>139</v>
      </c>
      <c r="S233" s="3" t="s">
        <v>4</v>
      </c>
      <c r="T233" s="3" t="s">
        <v>4</v>
      </c>
      <c r="U233" s="3"/>
    </row>
    <row r="234" spans="1:21">
      <c r="A234">
        <v>3104</v>
      </c>
      <c r="B234" t="s">
        <v>11</v>
      </c>
      <c r="C234" t="s">
        <v>11</v>
      </c>
      <c r="D234" t="s">
        <v>56</v>
      </c>
      <c r="E234" t="s">
        <v>56</v>
      </c>
      <c r="F234" t="s">
        <v>56</v>
      </c>
      <c r="G234" t="s">
        <v>56</v>
      </c>
      <c r="H234" t="s">
        <v>936</v>
      </c>
      <c r="I234" t="s">
        <v>937</v>
      </c>
      <c r="J234" s="3" t="s">
        <v>938</v>
      </c>
      <c r="K234" s="3"/>
      <c r="L234" s="3" t="s">
        <v>939</v>
      </c>
      <c r="M234" s="3">
        <v>46084</v>
      </c>
      <c r="N234" s="4">
        <v>2150000</v>
      </c>
      <c r="O234" s="3" t="s">
        <v>940</v>
      </c>
      <c r="P234" s="3">
        <v>179095</v>
      </c>
      <c r="Q234" s="4">
        <v>179095</v>
      </c>
      <c r="R234" s="3" t="s">
        <v>941</v>
      </c>
      <c r="S234" s="3" t="s">
        <v>4</v>
      </c>
      <c r="T234" s="3" t="s">
        <v>4</v>
      </c>
      <c r="U234" s="3"/>
    </row>
    <row r="235" spans="1:21">
      <c r="A235">
        <v>3438</v>
      </c>
      <c r="B235" t="s">
        <v>11</v>
      </c>
      <c r="C235" t="s">
        <v>11</v>
      </c>
      <c r="D235" t="s">
        <v>56</v>
      </c>
      <c r="E235" t="s">
        <v>56</v>
      </c>
      <c r="F235" t="s">
        <v>56</v>
      </c>
      <c r="G235" t="s">
        <v>56</v>
      </c>
      <c r="H235" t="s">
        <v>921</v>
      </c>
      <c r="I235" t="s">
        <v>942</v>
      </c>
      <c r="J235" s="3" t="s">
        <v>943</v>
      </c>
      <c r="K235" s="3"/>
      <c r="L235" s="3" t="s">
        <v>12</v>
      </c>
      <c r="M235" s="3">
        <v>46188</v>
      </c>
      <c r="N235" s="4">
        <v>1100000</v>
      </c>
      <c r="O235" s="3" t="s">
        <v>944</v>
      </c>
      <c r="P235" s="3">
        <v>77000</v>
      </c>
      <c r="Q235" s="4">
        <v>77000</v>
      </c>
      <c r="R235" s="3" t="s">
        <v>341</v>
      </c>
      <c r="S235" s="3" t="s">
        <v>4</v>
      </c>
      <c r="T235" s="3" t="s">
        <v>4</v>
      </c>
      <c r="U235" s="3"/>
    </row>
    <row r="236" spans="1:21">
      <c r="A236">
        <v>3510</v>
      </c>
      <c r="B236" t="s">
        <v>11</v>
      </c>
      <c r="C236" t="s">
        <v>11</v>
      </c>
      <c r="D236" t="s">
        <v>56</v>
      </c>
      <c r="E236" t="s">
        <v>56</v>
      </c>
      <c r="F236" t="s">
        <v>56</v>
      </c>
      <c r="G236" t="s">
        <v>56</v>
      </c>
      <c r="H236" t="s">
        <v>921</v>
      </c>
      <c r="I236" t="s">
        <v>945</v>
      </c>
      <c r="J236" s="3" t="s">
        <v>946</v>
      </c>
      <c r="K236" s="3"/>
      <c r="L236" s="3" t="s">
        <v>12</v>
      </c>
      <c r="M236" s="3">
        <v>46266</v>
      </c>
      <c r="N236" s="4">
        <v>2300004</v>
      </c>
      <c r="O236" s="3" t="s">
        <v>918</v>
      </c>
      <c r="P236" s="3" t="s">
        <v>947</v>
      </c>
      <c r="Q236" s="4">
        <v>161000.28</v>
      </c>
      <c r="R236" s="3" t="s">
        <v>920</v>
      </c>
      <c r="S236" s="3" t="s">
        <v>4</v>
      </c>
      <c r="T236" s="3" t="s">
        <v>4</v>
      </c>
      <c r="U236" s="3"/>
    </row>
    <row r="237" spans="1:21">
      <c r="A237">
        <v>3013</v>
      </c>
      <c r="B237" t="s">
        <v>11</v>
      </c>
      <c r="C237" t="s">
        <v>11</v>
      </c>
      <c r="D237" t="s">
        <v>56</v>
      </c>
      <c r="E237" t="s">
        <v>56</v>
      </c>
      <c r="F237" t="s">
        <v>56</v>
      </c>
      <c r="G237" t="s">
        <v>56</v>
      </c>
      <c r="H237" t="s">
        <v>921</v>
      </c>
      <c r="I237" t="s">
        <v>948</v>
      </c>
      <c r="J237" s="3" t="s">
        <v>949</v>
      </c>
      <c r="K237" s="3"/>
      <c r="L237" s="3" t="s">
        <v>930</v>
      </c>
      <c r="M237" s="3">
        <v>46027</v>
      </c>
      <c r="N237" s="4">
        <v>2700000</v>
      </c>
      <c r="O237" s="3" t="s">
        <v>950</v>
      </c>
      <c r="P237" s="3"/>
      <c r="Q237" s="4"/>
      <c r="R237" s="3"/>
      <c r="S237" s="3" t="s">
        <v>4</v>
      </c>
      <c r="T237" s="3" t="s">
        <v>4</v>
      </c>
      <c r="U237" s="3" t="s">
        <v>951</v>
      </c>
    </row>
    <row r="238" spans="1:21">
      <c r="A238">
        <v>3346</v>
      </c>
      <c r="B238" t="s">
        <v>11</v>
      </c>
      <c r="C238" t="s">
        <v>11</v>
      </c>
      <c r="D238" t="s">
        <v>56</v>
      </c>
      <c r="E238" t="s">
        <v>56</v>
      </c>
      <c r="F238" t="s">
        <v>56</v>
      </c>
      <c r="G238" t="s">
        <v>56</v>
      </c>
      <c r="H238" t="s">
        <v>906</v>
      </c>
      <c r="I238" t="s">
        <v>952</v>
      </c>
      <c r="J238" s="3" t="s">
        <v>953</v>
      </c>
      <c r="K238" s="3"/>
      <c r="L238" s="3" t="s">
        <v>954</v>
      </c>
      <c r="M238" s="3">
        <v>46195</v>
      </c>
      <c r="N238" s="4">
        <v>1215000</v>
      </c>
      <c r="O238" s="3" t="s">
        <v>955</v>
      </c>
      <c r="P238" s="3">
        <v>85050</v>
      </c>
      <c r="Q238" s="4">
        <v>85050</v>
      </c>
      <c r="R238" s="3" t="s">
        <v>956</v>
      </c>
      <c r="S238" s="3" t="s">
        <v>4</v>
      </c>
      <c r="T238" s="3" t="s">
        <v>4</v>
      </c>
      <c r="U238" s="3"/>
    </row>
    <row r="239" spans="1:21">
      <c r="A239">
        <v>3032</v>
      </c>
      <c r="B239" t="s">
        <v>11</v>
      </c>
      <c r="C239" t="s">
        <v>11</v>
      </c>
      <c r="D239" t="s">
        <v>56</v>
      </c>
      <c r="E239" t="s">
        <v>56</v>
      </c>
      <c r="F239" t="s">
        <v>56</v>
      </c>
      <c r="G239" t="s">
        <v>56</v>
      </c>
      <c r="H239" t="s">
        <v>957</v>
      </c>
      <c r="I239" t="s">
        <v>958</v>
      </c>
      <c r="J239" s="3" t="s">
        <v>959</v>
      </c>
      <c r="K239" s="3"/>
      <c r="L239" s="3" t="s">
        <v>12</v>
      </c>
      <c r="M239" s="3">
        <v>46041</v>
      </c>
      <c r="N239" s="4">
        <v>2050000</v>
      </c>
      <c r="O239" s="3" t="s">
        <v>960</v>
      </c>
      <c r="P239" s="3">
        <v>170765</v>
      </c>
      <c r="Q239" s="4">
        <v>170765</v>
      </c>
      <c r="R239" s="3" t="s">
        <v>961</v>
      </c>
      <c r="S239" s="3" t="s">
        <v>4</v>
      </c>
      <c r="T239" s="3" t="s">
        <v>4</v>
      </c>
      <c r="U239" s="3"/>
    </row>
    <row r="240" spans="1:21">
      <c r="A240">
        <v>3056</v>
      </c>
      <c r="B240" t="s">
        <v>11</v>
      </c>
      <c r="C240" t="s">
        <v>11</v>
      </c>
      <c r="D240" t="s">
        <v>56</v>
      </c>
      <c r="E240" t="s">
        <v>56</v>
      </c>
      <c r="F240" t="s">
        <v>56</v>
      </c>
      <c r="G240" t="s">
        <v>56</v>
      </c>
      <c r="H240" t="s">
        <v>962</v>
      </c>
      <c r="I240" t="s">
        <v>963</v>
      </c>
      <c r="J240" s="3" t="s">
        <v>964</v>
      </c>
      <c r="K240" s="3"/>
      <c r="L240" s="3" t="s">
        <v>909</v>
      </c>
      <c r="M240" s="3">
        <v>46059</v>
      </c>
      <c r="N240" s="4">
        <v>490008</v>
      </c>
      <c r="O240" s="3" t="s">
        <v>965</v>
      </c>
      <c r="P240" s="3">
        <v>40817.666400000002</v>
      </c>
      <c r="Q240" s="4">
        <v>40817.666400000002</v>
      </c>
      <c r="R240" s="3" t="s">
        <v>932</v>
      </c>
      <c r="S240" s="3" t="s">
        <v>4</v>
      </c>
      <c r="T240" s="3" t="s">
        <v>4</v>
      </c>
      <c r="U240" s="3"/>
    </row>
    <row r="241" spans="1:21">
      <c r="A241">
        <v>3381</v>
      </c>
      <c r="B241" t="s">
        <v>11</v>
      </c>
      <c r="C241" t="s">
        <v>11</v>
      </c>
      <c r="D241" t="s">
        <v>56</v>
      </c>
      <c r="E241" t="s">
        <v>56</v>
      </c>
      <c r="F241" t="s">
        <v>59</v>
      </c>
      <c r="G241" t="s">
        <v>59</v>
      </c>
      <c r="H241" t="s">
        <v>921</v>
      </c>
      <c r="I241" t="s">
        <v>966</v>
      </c>
      <c r="J241" s="3" t="s">
        <v>967</v>
      </c>
      <c r="K241" s="3"/>
      <c r="L241" s="3" t="s">
        <v>12</v>
      </c>
      <c r="M241" s="3">
        <v>46209</v>
      </c>
      <c r="N241" s="4" t="s">
        <v>968</v>
      </c>
      <c r="O241" s="3" t="s">
        <v>969</v>
      </c>
      <c r="P241" s="3">
        <v>77000.14</v>
      </c>
      <c r="Q241" s="4">
        <v>77000.14</v>
      </c>
      <c r="R241" s="3" t="s">
        <v>876</v>
      </c>
      <c r="S241" s="3" t="s">
        <v>4</v>
      </c>
      <c r="T241" s="3" t="s">
        <v>4</v>
      </c>
      <c r="U241" s="3"/>
    </row>
    <row r="242" spans="1:21">
      <c r="A242">
        <v>3428</v>
      </c>
      <c r="B242" t="s">
        <v>11</v>
      </c>
      <c r="C242" t="s">
        <v>11</v>
      </c>
      <c r="D242" t="s">
        <v>56</v>
      </c>
      <c r="E242" t="s">
        <v>56</v>
      </c>
      <c r="F242" t="s">
        <v>59</v>
      </c>
      <c r="G242" t="s">
        <v>59</v>
      </c>
      <c r="H242" t="s">
        <v>970</v>
      </c>
      <c r="I242" t="s">
        <v>971</v>
      </c>
      <c r="J242" s="3" t="s">
        <v>972</v>
      </c>
      <c r="K242" s="3"/>
      <c r="L242" s="3" t="s">
        <v>12</v>
      </c>
      <c r="M242" s="3">
        <v>46227</v>
      </c>
      <c r="N242" s="4">
        <v>1050000</v>
      </c>
      <c r="O242" s="3" t="s">
        <v>944</v>
      </c>
      <c r="P242" s="3">
        <v>73500</v>
      </c>
      <c r="Q242" s="4">
        <v>73500</v>
      </c>
      <c r="R242" s="3" t="s">
        <v>341</v>
      </c>
      <c r="S242" s="3" t="s">
        <v>4</v>
      </c>
      <c r="T242" s="3" t="s">
        <v>4</v>
      </c>
      <c r="U242" s="3"/>
    </row>
    <row r="243" spans="1:21">
      <c r="A243">
        <v>3498</v>
      </c>
      <c r="B243" t="s">
        <v>11</v>
      </c>
      <c r="C243" t="s">
        <v>11</v>
      </c>
      <c r="D243" t="s">
        <v>56</v>
      </c>
      <c r="E243" t="s">
        <v>56</v>
      </c>
      <c r="F243" t="s">
        <v>60</v>
      </c>
      <c r="G243" t="s">
        <v>60</v>
      </c>
      <c r="H243" t="s">
        <v>936</v>
      </c>
      <c r="I243" t="s">
        <v>973</v>
      </c>
      <c r="J243" s="3" t="s">
        <v>974</v>
      </c>
      <c r="K243" s="3"/>
      <c r="L243" s="3" t="s">
        <v>939</v>
      </c>
      <c r="M243" s="3">
        <v>46254</v>
      </c>
      <c r="N243" s="4">
        <v>1543750</v>
      </c>
      <c r="O243" s="3"/>
      <c r="P243" s="3">
        <v>128594</v>
      </c>
      <c r="Q243" s="4">
        <v>128594</v>
      </c>
      <c r="R243" s="3"/>
      <c r="S243" s="3" t="s">
        <v>20</v>
      </c>
      <c r="T243" s="3" t="s">
        <v>20</v>
      </c>
      <c r="U243" s="3"/>
    </row>
    <row r="244" spans="1:21">
      <c r="A244">
        <v>3332</v>
      </c>
      <c r="B244" t="s">
        <v>11</v>
      </c>
      <c r="C244" t="s">
        <v>11</v>
      </c>
      <c r="D244" t="s">
        <v>56</v>
      </c>
      <c r="E244" t="s">
        <v>56</v>
      </c>
      <c r="F244" t="s">
        <v>61</v>
      </c>
      <c r="G244" t="s">
        <v>61</v>
      </c>
      <c r="H244" t="s">
        <v>975</v>
      </c>
      <c r="I244" t="s">
        <v>976</v>
      </c>
      <c r="J244" s="3" t="s">
        <v>977</v>
      </c>
      <c r="K244" s="3"/>
      <c r="L244" s="3" t="s">
        <v>11</v>
      </c>
      <c r="M244" s="3" t="s">
        <v>978</v>
      </c>
      <c r="N244" s="4">
        <v>600000</v>
      </c>
      <c r="O244" s="3" t="s">
        <v>979</v>
      </c>
      <c r="P244" s="3">
        <v>60000</v>
      </c>
      <c r="Q244" s="4">
        <v>60000</v>
      </c>
      <c r="R244" s="3" t="s">
        <v>401</v>
      </c>
      <c r="S244" s="3" t="s">
        <v>4</v>
      </c>
      <c r="T244" s="3" t="s">
        <v>4</v>
      </c>
      <c r="U244" s="3"/>
    </row>
    <row r="245" spans="1:21">
      <c r="A245">
        <v>3473</v>
      </c>
      <c r="B245" t="s">
        <v>11</v>
      </c>
      <c r="C245" t="s">
        <v>11</v>
      </c>
      <c r="D245" t="s">
        <v>56</v>
      </c>
      <c r="E245" t="s">
        <v>56</v>
      </c>
      <c r="F245" t="s">
        <v>61</v>
      </c>
      <c r="G245" t="s">
        <v>61</v>
      </c>
      <c r="H245" t="s">
        <v>921</v>
      </c>
      <c r="I245" t="s">
        <v>980</v>
      </c>
      <c r="J245" s="3" t="s">
        <v>981</v>
      </c>
      <c r="K245" s="3"/>
      <c r="L245" s="3" t="s">
        <v>982</v>
      </c>
      <c r="M245" s="3">
        <v>46246</v>
      </c>
      <c r="N245" s="4">
        <v>754008</v>
      </c>
      <c r="O245" s="3" t="s">
        <v>983</v>
      </c>
      <c r="P245" s="3">
        <v>52780.56</v>
      </c>
      <c r="Q245" s="4">
        <v>52780.56</v>
      </c>
      <c r="R245" s="3" t="s">
        <v>644</v>
      </c>
      <c r="S245" s="3" t="s">
        <v>4</v>
      </c>
      <c r="T245" s="3" t="s">
        <v>4</v>
      </c>
      <c r="U245" s="3"/>
    </row>
    <row r="246" spans="1:21">
      <c r="A246">
        <v>3310</v>
      </c>
      <c r="B246" t="s">
        <v>11</v>
      </c>
      <c r="C246" t="s">
        <v>11</v>
      </c>
      <c r="D246" t="s">
        <v>56</v>
      </c>
      <c r="E246" t="s">
        <v>56</v>
      </c>
      <c r="F246" t="s">
        <v>61</v>
      </c>
      <c r="G246" t="s">
        <v>61</v>
      </c>
      <c r="H246" t="s">
        <v>921</v>
      </c>
      <c r="I246" t="s">
        <v>984</v>
      </c>
      <c r="J246" s="3" t="s">
        <v>985</v>
      </c>
      <c r="K246" s="3"/>
      <c r="L246" s="3" t="s">
        <v>986</v>
      </c>
      <c r="M246" s="3" t="s">
        <v>987</v>
      </c>
      <c r="N246" s="4">
        <v>639996</v>
      </c>
      <c r="O246" s="3" t="s">
        <v>988</v>
      </c>
      <c r="P246" s="3">
        <v>44799.72</v>
      </c>
      <c r="Q246" s="4">
        <v>44799.72</v>
      </c>
      <c r="R246" s="3" t="s">
        <v>471</v>
      </c>
      <c r="S246" s="3" t="s">
        <v>4</v>
      </c>
      <c r="T246" s="3" t="s">
        <v>4</v>
      </c>
      <c r="U246" s="3"/>
    </row>
    <row r="247" spans="1:21">
      <c r="A247">
        <v>3499</v>
      </c>
      <c r="B247" t="s">
        <v>11</v>
      </c>
      <c r="C247" t="s">
        <v>11</v>
      </c>
      <c r="D247" t="s">
        <v>56</v>
      </c>
      <c r="E247" t="s">
        <v>56</v>
      </c>
      <c r="F247" t="s">
        <v>61</v>
      </c>
      <c r="G247" t="s">
        <v>61</v>
      </c>
      <c r="H247" t="s">
        <v>921</v>
      </c>
      <c r="I247" t="s">
        <v>989</v>
      </c>
      <c r="J247" s="3" t="s">
        <v>990</v>
      </c>
      <c r="K247" s="3"/>
      <c r="L247" s="3" t="s">
        <v>991</v>
      </c>
      <c r="M247" s="3">
        <v>46255</v>
      </c>
      <c r="N247" s="4">
        <v>813000</v>
      </c>
      <c r="O247" s="3" t="s">
        <v>918</v>
      </c>
      <c r="P247" s="3">
        <v>56910</v>
      </c>
      <c r="Q247" s="4">
        <v>56910</v>
      </c>
      <c r="R247" s="3" t="s">
        <v>920</v>
      </c>
      <c r="S247" s="3" t="s">
        <v>4</v>
      </c>
      <c r="T247" s="3" t="s">
        <v>4</v>
      </c>
      <c r="U247" s="3"/>
    </row>
    <row r="248" spans="1:21">
      <c r="A248">
        <v>3496</v>
      </c>
      <c r="B248" t="s">
        <v>11</v>
      </c>
      <c r="C248" t="s">
        <v>11</v>
      </c>
      <c r="D248" t="s">
        <v>56</v>
      </c>
      <c r="E248" t="s">
        <v>56</v>
      </c>
      <c r="F248" t="s">
        <v>61</v>
      </c>
      <c r="G248" t="s">
        <v>61</v>
      </c>
      <c r="H248" t="s">
        <v>921</v>
      </c>
      <c r="I248" t="s">
        <v>992</v>
      </c>
      <c r="J248" s="3" t="s">
        <v>993</v>
      </c>
      <c r="K248" s="3"/>
      <c r="L248" s="3" t="s">
        <v>791</v>
      </c>
      <c r="M248" s="3">
        <v>46252</v>
      </c>
      <c r="N248" s="4">
        <v>1000008</v>
      </c>
      <c r="O248" s="3" t="s">
        <v>918</v>
      </c>
      <c r="P248" s="3">
        <v>70000.56</v>
      </c>
      <c r="Q248" s="4">
        <v>70000.56</v>
      </c>
      <c r="R248" s="3" t="s">
        <v>920</v>
      </c>
      <c r="S248" s="3" t="s">
        <v>4</v>
      </c>
      <c r="T248" s="3" t="s">
        <v>4</v>
      </c>
      <c r="U248" s="3"/>
    </row>
    <row r="249" spans="1:21">
      <c r="A249">
        <v>3105</v>
      </c>
      <c r="B249" t="s">
        <v>11</v>
      </c>
      <c r="C249" t="s">
        <v>11</v>
      </c>
      <c r="D249" t="s">
        <v>56</v>
      </c>
      <c r="E249" t="s">
        <v>56</v>
      </c>
      <c r="F249" t="s">
        <v>61</v>
      </c>
      <c r="G249" t="s">
        <v>61</v>
      </c>
      <c r="H249" t="s">
        <v>921</v>
      </c>
      <c r="I249" t="s">
        <v>994</v>
      </c>
      <c r="J249" s="3" t="s">
        <v>985</v>
      </c>
      <c r="K249" s="3"/>
      <c r="L249" s="3" t="s">
        <v>995</v>
      </c>
      <c r="M249" s="3">
        <v>46086</v>
      </c>
      <c r="N249" s="4">
        <v>510000</v>
      </c>
      <c r="O249" s="3" t="s">
        <v>996</v>
      </c>
      <c r="P249" s="3">
        <v>42483</v>
      </c>
      <c r="Q249" s="4">
        <v>42483</v>
      </c>
      <c r="R249" s="3" t="s">
        <v>997</v>
      </c>
      <c r="S249" s="3" t="s">
        <v>4</v>
      </c>
      <c r="T249" s="3" t="s">
        <v>4</v>
      </c>
      <c r="U249" s="3"/>
    </row>
    <row r="250" spans="1:21">
      <c r="A250">
        <v>3130</v>
      </c>
      <c r="B250" t="s">
        <v>11</v>
      </c>
      <c r="C250" t="s">
        <v>11</v>
      </c>
      <c r="D250" t="s">
        <v>56</v>
      </c>
      <c r="E250" t="s">
        <v>56</v>
      </c>
      <c r="F250" t="s">
        <v>61</v>
      </c>
      <c r="G250" t="s">
        <v>61</v>
      </c>
      <c r="H250" t="s">
        <v>921</v>
      </c>
      <c r="I250" t="s">
        <v>998</v>
      </c>
      <c r="J250" s="3" t="s">
        <v>985</v>
      </c>
      <c r="K250" s="3"/>
      <c r="L250" s="3" t="s">
        <v>999</v>
      </c>
      <c r="M250" s="3">
        <v>46093</v>
      </c>
      <c r="N250" s="4">
        <v>585000</v>
      </c>
      <c r="O250" s="3" t="s">
        <v>996</v>
      </c>
      <c r="P250" s="3">
        <v>48730.5</v>
      </c>
      <c r="Q250" s="4">
        <v>48730.5</v>
      </c>
      <c r="R250" s="3" t="s">
        <v>997</v>
      </c>
      <c r="S250" s="3" t="s">
        <v>4</v>
      </c>
      <c r="T250" s="3" t="s">
        <v>4</v>
      </c>
      <c r="U250" s="3"/>
    </row>
    <row r="251" spans="1:21">
      <c r="A251">
        <v>3014</v>
      </c>
      <c r="B251" t="s">
        <v>11</v>
      </c>
      <c r="C251" t="s">
        <v>11</v>
      </c>
      <c r="D251" t="s">
        <v>56</v>
      </c>
      <c r="E251" t="s">
        <v>56</v>
      </c>
      <c r="F251" t="s">
        <v>61</v>
      </c>
      <c r="G251" t="s">
        <v>61</v>
      </c>
      <c r="H251" t="s">
        <v>921</v>
      </c>
      <c r="I251" t="s">
        <v>1000</v>
      </c>
      <c r="J251" s="3" t="s">
        <v>985</v>
      </c>
      <c r="K251" s="3"/>
      <c r="L251" s="3" t="s">
        <v>1001</v>
      </c>
      <c r="M251" s="3">
        <v>46029</v>
      </c>
      <c r="N251" s="4">
        <v>618000</v>
      </c>
      <c r="O251" s="3" t="s">
        <v>1002</v>
      </c>
      <c r="P251" s="3"/>
      <c r="Q251" s="4"/>
      <c r="R251" s="3"/>
      <c r="S251" s="3" t="s">
        <v>4</v>
      </c>
      <c r="T251" s="3" t="s">
        <v>4</v>
      </c>
      <c r="U251" s="3" t="s">
        <v>951</v>
      </c>
    </row>
    <row r="252" spans="1:21">
      <c r="A252">
        <v>3288</v>
      </c>
      <c r="B252" t="s">
        <v>11</v>
      </c>
      <c r="C252" t="s">
        <v>11</v>
      </c>
      <c r="D252" t="s">
        <v>56</v>
      </c>
      <c r="E252" t="s">
        <v>56</v>
      </c>
      <c r="F252" t="s">
        <v>61</v>
      </c>
      <c r="G252" t="s">
        <v>61</v>
      </c>
      <c r="H252" t="s">
        <v>921</v>
      </c>
      <c r="I252" t="s">
        <v>1003</v>
      </c>
      <c r="J252" s="3" t="s">
        <v>1004</v>
      </c>
      <c r="K252" s="3"/>
      <c r="L252" s="3" t="s">
        <v>12</v>
      </c>
      <c r="M252" s="3">
        <v>46156</v>
      </c>
      <c r="N252" s="4" t="s">
        <v>1005</v>
      </c>
      <c r="O252" s="3" t="s">
        <v>1006</v>
      </c>
      <c r="P252" s="3">
        <v>68250</v>
      </c>
      <c r="Q252" s="4">
        <v>68250</v>
      </c>
      <c r="R252" s="3" t="s">
        <v>956</v>
      </c>
      <c r="S252" s="3" t="s">
        <v>4</v>
      </c>
      <c r="T252" s="3" t="s">
        <v>4</v>
      </c>
      <c r="U252" s="3"/>
    </row>
    <row r="253" spans="1:21">
      <c r="A253">
        <v>3103</v>
      </c>
      <c r="B253" t="s">
        <v>11</v>
      </c>
      <c r="C253" t="s">
        <v>11</v>
      </c>
      <c r="D253" t="s">
        <v>56</v>
      </c>
      <c r="E253" t="s">
        <v>56</v>
      </c>
      <c r="F253" t="s">
        <v>61</v>
      </c>
      <c r="G253" t="s">
        <v>61</v>
      </c>
      <c r="H253" t="s">
        <v>906</v>
      </c>
      <c r="I253" t="s">
        <v>1007</v>
      </c>
      <c r="J253" s="3" t="s">
        <v>990</v>
      </c>
      <c r="K253" s="3"/>
      <c r="L253" s="3" t="s">
        <v>1008</v>
      </c>
      <c r="M253" s="3">
        <v>46084</v>
      </c>
      <c r="N253" s="4">
        <v>1000008</v>
      </c>
      <c r="O253" s="3" t="s">
        <v>1009</v>
      </c>
      <c r="P253" s="3">
        <v>83300.666400000002</v>
      </c>
      <c r="Q253" s="4">
        <v>83300.666400000002</v>
      </c>
      <c r="R253" s="3" t="s">
        <v>396</v>
      </c>
      <c r="S253" s="3" t="s">
        <v>4</v>
      </c>
      <c r="T253" s="3" t="s">
        <v>4</v>
      </c>
      <c r="U253" s="3"/>
    </row>
    <row r="254" spans="1:21">
      <c r="A254">
        <v>3164</v>
      </c>
      <c r="B254" t="s">
        <v>11</v>
      </c>
      <c r="C254" t="s">
        <v>11</v>
      </c>
      <c r="D254" t="s">
        <v>56</v>
      </c>
      <c r="E254" t="s">
        <v>56</v>
      </c>
      <c r="F254" t="s">
        <v>61</v>
      </c>
      <c r="G254" t="s">
        <v>61</v>
      </c>
      <c r="H254" t="s">
        <v>906</v>
      </c>
      <c r="I254" t="s">
        <v>1010</v>
      </c>
      <c r="J254" s="3" t="s">
        <v>990</v>
      </c>
      <c r="K254" s="3"/>
      <c r="L254" s="3" t="s">
        <v>159</v>
      </c>
      <c r="M254" s="3">
        <v>46107</v>
      </c>
      <c r="N254" s="4">
        <v>900000</v>
      </c>
      <c r="O254" s="3" t="s">
        <v>1011</v>
      </c>
      <c r="P254" s="3">
        <v>74970</v>
      </c>
      <c r="Q254" s="4">
        <v>74970</v>
      </c>
      <c r="R254" s="3" t="s">
        <v>1012</v>
      </c>
      <c r="S254" s="3" t="s">
        <v>4</v>
      </c>
      <c r="T254" s="3" t="s">
        <v>4</v>
      </c>
      <c r="U254" s="3"/>
    </row>
    <row r="255" spans="1:21">
      <c r="A255">
        <v>3030</v>
      </c>
      <c r="B255" t="s">
        <v>11</v>
      </c>
      <c r="C255" t="s">
        <v>11</v>
      </c>
      <c r="D255" t="s">
        <v>56</v>
      </c>
      <c r="E255" t="s">
        <v>56</v>
      </c>
      <c r="F255" t="s">
        <v>61</v>
      </c>
      <c r="G255" t="s">
        <v>61</v>
      </c>
      <c r="H255" t="s">
        <v>957</v>
      </c>
      <c r="I255" t="s">
        <v>1013</v>
      </c>
      <c r="J255" s="3" t="s">
        <v>1014</v>
      </c>
      <c r="K255" s="3"/>
      <c r="L255" s="3" t="s">
        <v>604</v>
      </c>
      <c r="M255" s="3">
        <v>46034</v>
      </c>
      <c r="N255" s="4">
        <v>1450000</v>
      </c>
      <c r="O255" s="3" t="s">
        <v>960</v>
      </c>
      <c r="P255" s="3">
        <v>120785</v>
      </c>
      <c r="Q255" s="4">
        <v>120785</v>
      </c>
      <c r="R255" s="3" t="s">
        <v>961</v>
      </c>
      <c r="S255" s="3" t="s">
        <v>4</v>
      </c>
      <c r="T255" s="3" t="s">
        <v>4</v>
      </c>
      <c r="U255" s="3"/>
    </row>
    <row r="256" spans="1:21">
      <c r="A256">
        <v>3348</v>
      </c>
      <c r="B256" t="s">
        <v>11</v>
      </c>
      <c r="C256" t="s">
        <v>11</v>
      </c>
      <c r="D256" t="s">
        <v>56</v>
      </c>
      <c r="E256" t="s">
        <v>56</v>
      </c>
      <c r="F256" t="s">
        <v>61</v>
      </c>
      <c r="G256" t="s">
        <v>61</v>
      </c>
      <c r="H256" t="s">
        <v>962</v>
      </c>
      <c r="I256" t="s">
        <v>1015</v>
      </c>
      <c r="J256" s="3" t="s">
        <v>1016</v>
      </c>
      <c r="K256" s="3"/>
      <c r="L256" s="3" t="s">
        <v>986</v>
      </c>
      <c r="M256" s="3">
        <v>46202</v>
      </c>
      <c r="N256" s="4">
        <v>1057425</v>
      </c>
      <c r="O256" s="3" t="s">
        <v>1017</v>
      </c>
      <c r="P256" s="3">
        <v>74019.75</v>
      </c>
      <c r="Q256" s="4">
        <v>74019.75</v>
      </c>
      <c r="R256" s="3" t="s">
        <v>529</v>
      </c>
      <c r="S256" s="3" t="s">
        <v>4</v>
      </c>
      <c r="T256" s="3" t="s">
        <v>4</v>
      </c>
      <c r="U256" s="3"/>
    </row>
    <row r="257" spans="1:21">
      <c r="A257">
        <v>3045</v>
      </c>
      <c r="B257" t="s">
        <v>11</v>
      </c>
      <c r="C257" t="s">
        <v>11</v>
      </c>
      <c r="D257" t="s">
        <v>56</v>
      </c>
      <c r="E257" t="s">
        <v>56</v>
      </c>
      <c r="F257" t="s">
        <v>61</v>
      </c>
      <c r="G257" t="s">
        <v>61</v>
      </c>
      <c r="H257" t="s">
        <v>962</v>
      </c>
      <c r="I257" t="s">
        <v>1018</v>
      </c>
      <c r="J257" s="3" t="s">
        <v>1016</v>
      </c>
      <c r="K257" s="3"/>
      <c r="L257" s="3" t="s">
        <v>1019</v>
      </c>
      <c r="M257" s="3">
        <v>46049</v>
      </c>
      <c r="N257" s="4">
        <v>567000</v>
      </c>
      <c r="O257" s="3" t="s">
        <v>1020</v>
      </c>
      <c r="P257" s="3">
        <v>47231.1</v>
      </c>
      <c r="Q257" s="4">
        <v>47231.1</v>
      </c>
      <c r="R257" s="3" t="s">
        <v>961</v>
      </c>
      <c r="S257" s="3" t="s">
        <v>4</v>
      </c>
      <c r="T257" s="3" t="s">
        <v>4</v>
      </c>
      <c r="U257" s="3"/>
    </row>
    <row r="258" spans="1:21">
      <c r="A258">
        <v>3544</v>
      </c>
      <c r="B258" t="s">
        <v>11</v>
      </c>
      <c r="C258" t="s">
        <v>11</v>
      </c>
      <c r="D258" t="s">
        <v>56</v>
      </c>
      <c r="E258" t="s">
        <v>56</v>
      </c>
      <c r="F258" t="s">
        <v>61</v>
      </c>
      <c r="G258" t="s">
        <v>61</v>
      </c>
      <c r="H258" t="s">
        <v>962</v>
      </c>
      <c r="I258" t="s">
        <v>1021</v>
      </c>
      <c r="J258" s="3" t="s">
        <v>1016</v>
      </c>
      <c r="K258" s="3"/>
      <c r="L258" s="3" t="s">
        <v>1022</v>
      </c>
      <c r="M258" s="3">
        <v>46266</v>
      </c>
      <c r="N258" s="4">
        <v>1006356</v>
      </c>
      <c r="O258" s="3" t="s">
        <v>1023</v>
      </c>
      <c r="P258" s="3">
        <v>70444.92</v>
      </c>
      <c r="Q258" s="4">
        <v>70444.92</v>
      </c>
      <c r="R258" s="3" t="s">
        <v>153</v>
      </c>
      <c r="S258" s="3" t="s">
        <v>19</v>
      </c>
      <c r="T258" s="3" t="s">
        <v>19</v>
      </c>
      <c r="U258" s="3"/>
    </row>
    <row r="259" spans="1:21">
      <c r="A259">
        <v>3508</v>
      </c>
      <c r="B259" t="s">
        <v>11</v>
      </c>
      <c r="C259" t="s">
        <v>11</v>
      </c>
      <c r="D259" t="s">
        <v>56</v>
      </c>
      <c r="E259" t="s">
        <v>56</v>
      </c>
      <c r="F259" t="s">
        <v>61</v>
      </c>
      <c r="G259" t="s">
        <v>61</v>
      </c>
      <c r="H259" t="s">
        <v>1024</v>
      </c>
      <c r="I259" t="s">
        <v>1025</v>
      </c>
      <c r="J259" s="3" t="s">
        <v>1026</v>
      </c>
      <c r="K259" s="3"/>
      <c r="L259" s="3" t="s">
        <v>127</v>
      </c>
      <c r="M259" s="3">
        <v>46264</v>
      </c>
      <c r="N259" s="4">
        <v>728604</v>
      </c>
      <c r="O259" s="3" t="s">
        <v>944</v>
      </c>
      <c r="P259" s="3">
        <v>51002.28</v>
      </c>
      <c r="Q259" s="4">
        <v>51002.28</v>
      </c>
      <c r="R259" s="3" t="s">
        <v>341</v>
      </c>
      <c r="S259" s="3" t="s">
        <v>4</v>
      </c>
      <c r="T259" s="3" t="s">
        <v>4</v>
      </c>
      <c r="U259" s="3"/>
    </row>
    <row r="260" spans="1:21">
      <c r="A260">
        <v>3472</v>
      </c>
      <c r="B260" t="s">
        <v>11</v>
      </c>
      <c r="C260" t="s">
        <v>11</v>
      </c>
      <c r="D260" t="s">
        <v>56</v>
      </c>
      <c r="E260" t="s">
        <v>56</v>
      </c>
      <c r="F260" t="s">
        <v>61</v>
      </c>
      <c r="G260" t="s">
        <v>61</v>
      </c>
      <c r="H260" t="s">
        <v>1024</v>
      </c>
      <c r="I260" t="s">
        <v>1027</v>
      </c>
      <c r="J260" s="3" t="s">
        <v>1026</v>
      </c>
      <c r="K260" s="3"/>
      <c r="L260" s="3" t="s">
        <v>207</v>
      </c>
      <c r="M260" s="3">
        <v>46244</v>
      </c>
      <c r="N260" s="4">
        <v>897336</v>
      </c>
      <c r="O260" s="3" t="s">
        <v>983</v>
      </c>
      <c r="P260" s="3">
        <v>62813.52</v>
      </c>
      <c r="Q260" s="4">
        <v>62813.52</v>
      </c>
      <c r="R260" s="3" t="s">
        <v>644</v>
      </c>
      <c r="S260" s="3" t="s">
        <v>4</v>
      </c>
      <c r="T260" s="3" t="s">
        <v>4</v>
      </c>
      <c r="U260" s="3"/>
    </row>
    <row r="261" spans="1:21">
      <c r="A261">
        <v>3471</v>
      </c>
      <c r="B261" t="s">
        <v>11</v>
      </c>
      <c r="C261" t="s">
        <v>11</v>
      </c>
      <c r="D261" t="s">
        <v>56</v>
      </c>
      <c r="E261" t="s">
        <v>56</v>
      </c>
      <c r="F261" t="s">
        <v>61</v>
      </c>
      <c r="G261" t="s">
        <v>61</v>
      </c>
      <c r="H261" t="s">
        <v>1024</v>
      </c>
      <c r="I261" t="s">
        <v>1028</v>
      </c>
      <c r="J261" s="3" t="s">
        <v>1026</v>
      </c>
      <c r="K261" s="3"/>
      <c r="L261" s="3" t="s">
        <v>591</v>
      </c>
      <c r="M261" s="3">
        <v>46244</v>
      </c>
      <c r="N261" s="4">
        <v>682500</v>
      </c>
      <c r="O261" s="3" t="s">
        <v>983</v>
      </c>
      <c r="P261" s="3">
        <v>47775</v>
      </c>
      <c r="Q261" s="4">
        <v>47775</v>
      </c>
      <c r="R261" s="3" t="s">
        <v>644</v>
      </c>
      <c r="S261" s="3" t="s">
        <v>4</v>
      </c>
      <c r="T261" s="3" t="s">
        <v>4</v>
      </c>
      <c r="U261" s="3"/>
    </row>
    <row r="262" spans="1:21">
      <c r="A262">
        <v>3437</v>
      </c>
      <c r="B262" t="s">
        <v>11</v>
      </c>
      <c r="C262" t="s">
        <v>11</v>
      </c>
      <c r="D262" t="s">
        <v>56</v>
      </c>
      <c r="E262" t="s">
        <v>56</v>
      </c>
      <c r="F262" t="s">
        <v>61</v>
      </c>
      <c r="G262" t="s">
        <v>61</v>
      </c>
      <c r="H262" t="s">
        <v>703</v>
      </c>
      <c r="I262" t="s">
        <v>1029</v>
      </c>
      <c r="J262" s="3" t="s">
        <v>1030</v>
      </c>
      <c r="K262" s="3"/>
      <c r="L262" s="3" t="s">
        <v>1031</v>
      </c>
      <c r="M262" s="3">
        <v>46230</v>
      </c>
      <c r="N262" s="4">
        <v>1420570</v>
      </c>
      <c r="O262" s="3" t="s">
        <v>1032</v>
      </c>
      <c r="P262" s="3" t="s">
        <v>1033</v>
      </c>
      <c r="Q262" s="4">
        <v>118333.48</v>
      </c>
      <c r="R262" s="3" t="s">
        <v>245</v>
      </c>
      <c r="S262" s="3" t="s">
        <v>19</v>
      </c>
      <c r="T262" s="3" t="s">
        <v>19</v>
      </c>
      <c r="U262" s="3"/>
    </row>
    <row r="263" spans="1:21">
      <c r="A263">
        <v>3440</v>
      </c>
      <c r="B263" t="s">
        <v>11</v>
      </c>
      <c r="C263" t="s">
        <v>11</v>
      </c>
      <c r="D263" t="s">
        <v>56</v>
      </c>
      <c r="E263" t="s">
        <v>56</v>
      </c>
      <c r="F263" t="s">
        <v>61</v>
      </c>
      <c r="G263" t="s">
        <v>61</v>
      </c>
      <c r="H263" t="s">
        <v>1034</v>
      </c>
      <c r="I263" t="s">
        <v>1035</v>
      </c>
      <c r="J263" s="3" t="s">
        <v>1036</v>
      </c>
      <c r="K263" s="3"/>
      <c r="L263" s="3" t="s">
        <v>127</v>
      </c>
      <c r="M263" s="3">
        <v>46232</v>
      </c>
      <c r="N263" s="4">
        <v>728604</v>
      </c>
      <c r="O263" s="3" t="s">
        <v>944</v>
      </c>
      <c r="P263" s="3">
        <v>51002.28</v>
      </c>
      <c r="Q263" s="4">
        <v>51002.28</v>
      </c>
      <c r="R263" s="3" t="s">
        <v>341</v>
      </c>
      <c r="S263" s="3" t="s">
        <v>4</v>
      </c>
      <c r="T263" s="3" t="s">
        <v>4</v>
      </c>
      <c r="U263" s="3"/>
    </row>
    <row r="264" spans="1:21">
      <c r="A264">
        <v>3311</v>
      </c>
      <c r="B264" t="s">
        <v>11</v>
      </c>
      <c r="C264" t="s">
        <v>11</v>
      </c>
      <c r="D264" t="s">
        <v>56</v>
      </c>
      <c r="E264" t="s">
        <v>56</v>
      </c>
      <c r="F264" t="s">
        <v>62</v>
      </c>
      <c r="G264" t="s">
        <v>62</v>
      </c>
      <c r="H264" t="s">
        <v>975</v>
      </c>
      <c r="I264" t="s">
        <v>1037</v>
      </c>
      <c r="J264" s="3" t="s">
        <v>1038</v>
      </c>
      <c r="K264" s="3"/>
      <c r="L264" s="3" t="s">
        <v>11</v>
      </c>
      <c r="M264" s="3" t="s">
        <v>1039</v>
      </c>
      <c r="N264" s="4">
        <v>750000</v>
      </c>
      <c r="O264" s="3" t="s">
        <v>979</v>
      </c>
      <c r="P264" s="3">
        <v>75000</v>
      </c>
      <c r="Q264" s="4">
        <v>75000</v>
      </c>
      <c r="R264" s="3" t="s">
        <v>401</v>
      </c>
      <c r="S264" s="3" t="s">
        <v>4</v>
      </c>
      <c r="T264" s="3" t="s">
        <v>4</v>
      </c>
      <c r="U264" s="3"/>
    </row>
    <row r="265" spans="1:21">
      <c r="A265">
        <v>3039</v>
      </c>
      <c r="B265" t="s">
        <v>11</v>
      </c>
      <c r="C265" t="s">
        <v>11</v>
      </c>
      <c r="D265" t="s">
        <v>56</v>
      </c>
      <c r="E265" t="s">
        <v>56</v>
      </c>
      <c r="F265" t="s">
        <v>63</v>
      </c>
      <c r="G265" t="s">
        <v>63</v>
      </c>
      <c r="H265" t="s">
        <v>1040</v>
      </c>
      <c r="I265" t="s">
        <v>1041</v>
      </c>
      <c r="J265" s="3" t="s">
        <v>1042</v>
      </c>
      <c r="K265" s="3"/>
      <c r="L265" s="3" t="s">
        <v>1043</v>
      </c>
      <c r="M265" s="3">
        <v>46041</v>
      </c>
      <c r="N265" s="4">
        <v>1618176</v>
      </c>
      <c r="O265" s="3" t="s">
        <v>1044</v>
      </c>
      <c r="P265" s="3">
        <v>134794.06080000001</v>
      </c>
      <c r="Q265" s="4">
        <v>134794.06080000001</v>
      </c>
      <c r="R265" s="3" t="s">
        <v>376</v>
      </c>
      <c r="S265" s="3" t="s">
        <v>4</v>
      </c>
      <c r="T265" s="3" t="s">
        <v>4</v>
      </c>
      <c r="U265" s="3"/>
    </row>
    <row r="266" spans="1:21">
      <c r="A266">
        <v>3015</v>
      </c>
      <c r="B266" t="s">
        <v>11</v>
      </c>
      <c r="C266" t="s">
        <v>11</v>
      </c>
      <c r="D266" t="s">
        <v>56</v>
      </c>
      <c r="E266" t="s">
        <v>56</v>
      </c>
      <c r="F266" t="s">
        <v>63</v>
      </c>
      <c r="G266" t="s">
        <v>63</v>
      </c>
      <c r="H266" t="s">
        <v>936</v>
      </c>
      <c r="I266" t="s">
        <v>1045</v>
      </c>
      <c r="J266" s="3" t="s">
        <v>1046</v>
      </c>
      <c r="K266" s="3"/>
      <c r="L266" s="3" t="s">
        <v>939</v>
      </c>
      <c r="M266" s="3">
        <v>46034</v>
      </c>
      <c r="N266" s="4">
        <v>800000</v>
      </c>
      <c r="O266" s="3" t="s">
        <v>1047</v>
      </c>
      <c r="P266" s="3">
        <v>66640</v>
      </c>
      <c r="Q266" s="4">
        <v>66640</v>
      </c>
      <c r="R266" s="3" t="s">
        <v>1048</v>
      </c>
      <c r="S266" s="3" t="s">
        <v>4</v>
      </c>
      <c r="T266" s="3" t="s">
        <v>4</v>
      </c>
      <c r="U266" s="3"/>
    </row>
    <row r="267" spans="1:21">
      <c r="A267">
        <v>3192</v>
      </c>
      <c r="B267" t="s">
        <v>11</v>
      </c>
      <c r="C267" t="s">
        <v>11</v>
      </c>
      <c r="D267" t="s">
        <v>56</v>
      </c>
      <c r="E267" t="s">
        <v>56</v>
      </c>
      <c r="F267" t="s">
        <v>63</v>
      </c>
      <c r="G267" t="s">
        <v>63</v>
      </c>
      <c r="H267" t="s">
        <v>921</v>
      </c>
      <c r="I267" t="s">
        <v>1049</v>
      </c>
      <c r="J267" s="3" t="s">
        <v>1050</v>
      </c>
      <c r="K267" s="3"/>
      <c r="L267" s="3" t="s">
        <v>1051</v>
      </c>
      <c r="M267" s="3">
        <v>46118</v>
      </c>
      <c r="N267" s="4">
        <v>1900000</v>
      </c>
      <c r="O267" s="3" t="s">
        <v>1052</v>
      </c>
      <c r="P267" s="3">
        <v>133000</v>
      </c>
      <c r="Q267" s="4">
        <v>133000</v>
      </c>
      <c r="R267" s="3" t="s">
        <v>768</v>
      </c>
      <c r="S267" s="3" t="s">
        <v>4</v>
      </c>
      <c r="T267" s="3" t="s">
        <v>4</v>
      </c>
      <c r="U267" s="3"/>
    </row>
    <row r="268" spans="1:21">
      <c r="A268">
        <v>3106</v>
      </c>
      <c r="B268" t="s">
        <v>11</v>
      </c>
      <c r="C268" t="s">
        <v>11</v>
      </c>
      <c r="D268" t="s">
        <v>56</v>
      </c>
      <c r="E268" t="s">
        <v>56</v>
      </c>
      <c r="F268" t="s">
        <v>63</v>
      </c>
      <c r="G268" t="s">
        <v>63</v>
      </c>
      <c r="H268" t="s">
        <v>921</v>
      </c>
      <c r="I268" t="s">
        <v>1053</v>
      </c>
      <c r="J268" s="3" t="s">
        <v>1054</v>
      </c>
      <c r="K268" s="3"/>
      <c r="L268" s="3" t="s">
        <v>1055</v>
      </c>
      <c r="M268" s="3">
        <v>46088</v>
      </c>
      <c r="N268" s="4">
        <v>790000</v>
      </c>
      <c r="O268" s="3" t="s">
        <v>996</v>
      </c>
      <c r="P268" s="3">
        <v>65807</v>
      </c>
      <c r="Q268" s="4">
        <v>65807</v>
      </c>
      <c r="R268" s="3" t="s">
        <v>997</v>
      </c>
      <c r="S268" s="3" t="s">
        <v>4</v>
      </c>
      <c r="T268" s="3" t="s">
        <v>4</v>
      </c>
      <c r="U268" s="3"/>
    </row>
    <row r="269" spans="1:21" ht="27.6">
      <c r="A269">
        <v>3427</v>
      </c>
      <c r="B269" t="s">
        <v>11</v>
      </c>
      <c r="C269" t="s">
        <v>11</v>
      </c>
      <c r="D269" t="s">
        <v>56</v>
      </c>
      <c r="E269" t="s">
        <v>56</v>
      </c>
      <c r="F269" t="s">
        <v>64</v>
      </c>
      <c r="G269" t="s">
        <v>64</v>
      </c>
      <c r="H269" t="s">
        <v>1056</v>
      </c>
      <c r="I269" t="s">
        <v>1057</v>
      </c>
      <c r="J269" s="3" t="s">
        <v>1058</v>
      </c>
      <c r="K269" s="3"/>
      <c r="L269" s="3" t="s">
        <v>11</v>
      </c>
      <c r="M269" s="3">
        <v>46225</v>
      </c>
      <c r="N269" s="4">
        <v>450000</v>
      </c>
      <c r="O269" s="3" t="s">
        <v>1059</v>
      </c>
      <c r="P269" s="3">
        <v>45000</v>
      </c>
      <c r="Q269" s="4">
        <v>45000</v>
      </c>
      <c r="R269" s="3" t="s">
        <v>361</v>
      </c>
      <c r="S269" s="3" t="s">
        <v>19</v>
      </c>
      <c r="T269" s="3" t="s">
        <v>19</v>
      </c>
      <c r="U269" s="3"/>
    </row>
    <row r="270" spans="1:21">
      <c r="A270">
        <v>3055</v>
      </c>
      <c r="B270" t="s">
        <v>11</v>
      </c>
      <c r="C270" t="s">
        <v>11</v>
      </c>
      <c r="D270" t="s">
        <v>56</v>
      </c>
      <c r="E270" t="s">
        <v>56</v>
      </c>
      <c r="F270" t="s">
        <v>64</v>
      </c>
      <c r="G270" t="s">
        <v>64</v>
      </c>
      <c r="H270" t="s">
        <v>1060</v>
      </c>
      <c r="I270" t="s">
        <v>1061</v>
      </c>
      <c r="J270" s="3" t="s">
        <v>1016</v>
      </c>
      <c r="K270" s="3"/>
      <c r="L270" s="3" t="s">
        <v>1062</v>
      </c>
      <c r="M270" s="3">
        <v>46059</v>
      </c>
      <c r="N270" s="4">
        <v>1050000</v>
      </c>
      <c r="O270" s="3" t="s">
        <v>965</v>
      </c>
      <c r="P270" s="3">
        <v>87465</v>
      </c>
      <c r="Q270" s="4">
        <v>87465</v>
      </c>
      <c r="R270" s="3" t="s">
        <v>932</v>
      </c>
      <c r="S270" s="3" t="s">
        <v>4</v>
      </c>
      <c r="T270" s="3" t="s">
        <v>4</v>
      </c>
      <c r="U270" s="3"/>
    </row>
    <row r="271" spans="1:21">
      <c r="A271">
        <v>3342</v>
      </c>
      <c r="B271" t="s">
        <v>11</v>
      </c>
      <c r="C271" t="s">
        <v>11</v>
      </c>
      <c r="D271" t="s">
        <v>56</v>
      </c>
      <c r="E271" t="s">
        <v>56</v>
      </c>
      <c r="F271" t="s">
        <v>64</v>
      </c>
      <c r="G271" t="s">
        <v>64</v>
      </c>
      <c r="H271" t="s">
        <v>921</v>
      </c>
      <c r="I271" t="s">
        <v>1063</v>
      </c>
      <c r="J271" s="3" t="s">
        <v>1064</v>
      </c>
      <c r="K271" s="3"/>
      <c r="L271" s="3" t="s">
        <v>1065</v>
      </c>
      <c r="M271" s="3" t="s">
        <v>1066</v>
      </c>
      <c r="N271" s="4">
        <v>520008</v>
      </c>
      <c r="O271" s="3" t="s">
        <v>1017</v>
      </c>
      <c r="P271" s="3">
        <v>36400.559999999998</v>
      </c>
      <c r="Q271" s="4">
        <v>36400.559999999998</v>
      </c>
      <c r="R271" s="3" t="s">
        <v>529</v>
      </c>
      <c r="S271" s="3" t="s">
        <v>4</v>
      </c>
      <c r="T271" s="3" t="s">
        <v>4</v>
      </c>
      <c r="U271" s="3"/>
    </row>
    <row r="272" spans="1:21">
      <c r="A272">
        <v>3509</v>
      </c>
      <c r="B272" t="s">
        <v>11</v>
      </c>
      <c r="C272" t="s">
        <v>11</v>
      </c>
      <c r="D272" t="s">
        <v>56</v>
      </c>
      <c r="E272" t="s">
        <v>56</v>
      </c>
      <c r="F272" t="s">
        <v>64</v>
      </c>
      <c r="G272" t="s">
        <v>64</v>
      </c>
      <c r="H272" t="s">
        <v>921</v>
      </c>
      <c r="I272" t="s">
        <v>1067</v>
      </c>
      <c r="J272" s="3" t="s">
        <v>1068</v>
      </c>
      <c r="K272" s="3"/>
      <c r="L272" s="3" t="s">
        <v>597</v>
      </c>
      <c r="M272" s="3">
        <v>46265</v>
      </c>
      <c r="N272" s="4">
        <v>1350000</v>
      </c>
      <c r="O272" s="3" t="s">
        <v>918</v>
      </c>
      <c r="P272" s="3">
        <v>94500</v>
      </c>
      <c r="Q272" s="4">
        <v>94500</v>
      </c>
      <c r="R272" s="3" t="s">
        <v>920</v>
      </c>
      <c r="S272" s="3" t="s">
        <v>4</v>
      </c>
      <c r="T272" s="3" t="s">
        <v>4</v>
      </c>
      <c r="U272" s="3"/>
    </row>
    <row r="273" spans="1:21">
      <c r="A273">
        <v>3170</v>
      </c>
      <c r="B273" t="s">
        <v>11</v>
      </c>
      <c r="C273" t="s">
        <v>11</v>
      </c>
      <c r="D273" t="s">
        <v>56</v>
      </c>
      <c r="E273" t="s">
        <v>56</v>
      </c>
      <c r="F273" t="s">
        <v>64</v>
      </c>
      <c r="G273" t="s">
        <v>64</v>
      </c>
      <c r="H273" t="s">
        <v>921</v>
      </c>
      <c r="I273" t="s">
        <v>1069</v>
      </c>
      <c r="J273" s="3" t="s">
        <v>1064</v>
      </c>
      <c r="K273" s="3"/>
      <c r="L273" s="3" t="s">
        <v>1070</v>
      </c>
      <c r="M273" s="3">
        <v>46113</v>
      </c>
      <c r="N273" s="4">
        <v>510000</v>
      </c>
      <c r="O273" s="3" t="s">
        <v>1071</v>
      </c>
      <c r="P273" s="3">
        <v>35700</v>
      </c>
      <c r="Q273" s="4">
        <v>35700</v>
      </c>
      <c r="R273" s="3" t="s">
        <v>768</v>
      </c>
      <c r="S273" s="3" t="s">
        <v>4</v>
      </c>
      <c r="T273" s="3" t="s">
        <v>4</v>
      </c>
      <c r="U273" s="3"/>
    </row>
    <row r="274" spans="1:21">
      <c r="A274">
        <v>3382</v>
      </c>
      <c r="B274" t="s">
        <v>11</v>
      </c>
      <c r="C274" t="s">
        <v>11</v>
      </c>
      <c r="D274" t="s">
        <v>56</v>
      </c>
      <c r="E274" t="s">
        <v>56</v>
      </c>
      <c r="F274" t="s">
        <v>64</v>
      </c>
      <c r="G274" t="s">
        <v>64</v>
      </c>
      <c r="H274" t="s">
        <v>921</v>
      </c>
      <c r="I274" t="s">
        <v>1072</v>
      </c>
      <c r="J274" s="3" t="s">
        <v>1073</v>
      </c>
      <c r="K274" s="3"/>
      <c r="L274" s="3" t="s">
        <v>400</v>
      </c>
      <c r="M274" s="3">
        <v>46209</v>
      </c>
      <c r="N274" s="4">
        <v>240000</v>
      </c>
      <c r="O274" s="3" t="s">
        <v>539</v>
      </c>
      <c r="P274" s="3">
        <v>0</v>
      </c>
      <c r="Q274" s="4">
        <v>0</v>
      </c>
      <c r="R274" s="3" t="s">
        <v>539</v>
      </c>
      <c r="S274" s="3" t="s">
        <v>21</v>
      </c>
      <c r="T274" s="3" t="s">
        <v>21</v>
      </c>
      <c r="U274" s="3"/>
    </row>
    <row r="275" spans="1:21">
      <c r="A275">
        <v>3054</v>
      </c>
      <c r="B275" t="s">
        <v>11</v>
      </c>
      <c r="C275" t="s">
        <v>11</v>
      </c>
      <c r="D275" t="s">
        <v>56</v>
      </c>
      <c r="E275" t="s">
        <v>56</v>
      </c>
      <c r="F275" t="s">
        <v>64</v>
      </c>
      <c r="G275" t="s">
        <v>64</v>
      </c>
      <c r="H275" t="s">
        <v>921</v>
      </c>
      <c r="I275" t="s">
        <v>63</v>
      </c>
      <c r="J275" s="3" t="s">
        <v>1074</v>
      </c>
      <c r="K275" s="3"/>
      <c r="L275" s="3" t="s">
        <v>1075</v>
      </c>
      <c r="M275" s="3">
        <v>46058</v>
      </c>
      <c r="N275" s="4">
        <v>1050000</v>
      </c>
      <c r="O275" s="3" t="s">
        <v>931</v>
      </c>
      <c r="P275" s="3">
        <v>87465</v>
      </c>
      <c r="Q275" s="4">
        <v>87465</v>
      </c>
      <c r="R275" s="3" t="s">
        <v>932</v>
      </c>
      <c r="S275" s="3" t="s">
        <v>4</v>
      </c>
      <c r="T275" s="3" t="s">
        <v>4</v>
      </c>
      <c r="U275" s="3"/>
    </row>
    <row r="276" spans="1:21">
      <c r="A276">
        <v>3341</v>
      </c>
      <c r="B276" t="s">
        <v>11</v>
      </c>
      <c r="C276" t="s">
        <v>11</v>
      </c>
      <c r="D276" t="s">
        <v>56</v>
      </c>
      <c r="E276" t="s">
        <v>56</v>
      </c>
      <c r="F276" t="s">
        <v>64</v>
      </c>
      <c r="G276" t="s">
        <v>64</v>
      </c>
      <c r="H276" t="s">
        <v>921</v>
      </c>
      <c r="I276" t="s">
        <v>1076</v>
      </c>
      <c r="J276" s="3" t="s">
        <v>1064</v>
      </c>
      <c r="K276" s="3"/>
      <c r="L276" s="3" t="s">
        <v>1077</v>
      </c>
      <c r="M276" s="3" t="s">
        <v>1078</v>
      </c>
      <c r="N276" s="4">
        <v>460008</v>
      </c>
      <c r="O276" s="3" t="s">
        <v>988</v>
      </c>
      <c r="P276" s="3">
        <v>25000</v>
      </c>
      <c r="Q276" s="4">
        <v>25000</v>
      </c>
      <c r="R276" s="3" t="s">
        <v>471</v>
      </c>
      <c r="S276" s="3" t="s">
        <v>4</v>
      </c>
      <c r="T276" s="3" t="s">
        <v>4</v>
      </c>
      <c r="U276" s="3"/>
    </row>
    <row r="277" spans="1:21">
      <c r="A277">
        <v>3417</v>
      </c>
      <c r="B277" t="s">
        <v>11</v>
      </c>
      <c r="C277" t="s">
        <v>11</v>
      </c>
      <c r="D277" t="s">
        <v>56</v>
      </c>
      <c r="E277" t="s">
        <v>56</v>
      </c>
      <c r="F277" t="s">
        <v>64</v>
      </c>
      <c r="G277" t="s">
        <v>64</v>
      </c>
      <c r="H277" t="s">
        <v>921</v>
      </c>
      <c r="I277" t="s">
        <v>1079</v>
      </c>
      <c r="J277" s="3" t="s">
        <v>981</v>
      </c>
      <c r="K277" s="3"/>
      <c r="L277" s="3" t="s">
        <v>1080</v>
      </c>
      <c r="M277" s="3">
        <v>46218</v>
      </c>
      <c r="N277" s="4" t="s">
        <v>1081</v>
      </c>
      <c r="O277" s="3" t="s">
        <v>969</v>
      </c>
      <c r="P277" s="3">
        <v>54600</v>
      </c>
      <c r="Q277" s="4">
        <v>54600</v>
      </c>
      <c r="R277" s="3" t="s">
        <v>876</v>
      </c>
      <c r="S277" s="3" t="s">
        <v>4</v>
      </c>
      <c r="T277" s="3" t="s">
        <v>4</v>
      </c>
      <c r="U277" s="3"/>
    </row>
    <row r="278" spans="1:21">
      <c r="A278">
        <v>3309</v>
      </c>
      <c r="B278" t="s">
        <v>11</v>
      </c>
      <c r="C278" t="s">
        <v>11</v>
      </c>
      <c r="D278" t="s">
        <v>56</v>
      </c>
      <c r="E278" t="s">
        <v>56</v>
      </c>
      <c r="F278" t="s">
        <v>64</v>
      </c>
      <c r="G278" t="s">
        <v>64</v>
      </c>
      <c r="H278" t="s">
        <v>921</v>
      </c>
      <c r="I278" t="s">
        <v>1082</v>
      </c>
      <c r="J278" s="3" t="s">
        <v>1064</v>
      </c>
      <c r="K278" s="3"/>
      <c r="L278" s="3" t="s">
        <v>456</v>
      </c>
      <c r="M278" s="3" t="s">
        <v>956</v>
      </c>
      <c r="N278" s="4">
        <v>554000</v>
      </c>
      <c r="O278" s="3" t="s">
        <v>911</v>
      </c>
      <c r="P278" s="3">
        <v>38780</v>
      </c>
      <c r="Q278" s="4">
        <v>38780</v>
      </c>
      <c r="R278" s="3" t="s">
        <v>557</v>
      </c>
      <c r="S278" s="3" t="s">
        <v>4</v>
      </c>
      <c r="T278" s="3" t="s">
        <v>4</v>
      </c>
      <c r="U278" s="3"/>
    </row>
    <row r="279" spans="1:21">
      <c r="A279">
        <v>3340</v>
      </c>
      <c r="B279" t="s">
        <v>11</v>
      </c>
      <c r="C279" t="s">
        <v>11</v>
      </c>
      <c r="D279" t="s">
        <v>56</v>
      </c>
      <c r="E279" t="s">
        <v>56</v>
      </c>
      <c r="F279" t="s">
        <v>64</v>
      </c>
      <c r="G279" t="s">
        <v>64</v>
      </c>
      <c r="H279" t="s">
        <v>921</v>
      </c>
      <c r="I279" t="s">
        <v>1083</v>
      </c>
      <c r="J279" s="3" t="s">
        <v>1073</v>
      </c>
      <c r="K279" s="3"/>
      <c r="L279" s="3" t="s">
        <v>400</v>
      </c>
      <c r="M279" s="3">
        <v>46177</v>
      </c>
      <c r="N279" s="4">
        <v>240000</v>
      </c>
      <c r="O279" s="3" t="s">
        <v>944</v>
      </c>
      <c r="P279" s="3">
        <v>25000</v>
      </c>
      <c r="Q279" s="4">
        <v>25000</v>
      </c>
      <c r="R279" s="3" t="s">
        <v>341</v>
      </c>
      <c r="S279" s="3" t="s">
        <v>4</v>
      </c>
      <c r="T279" s="3" t="s">
        <v>4</v>
      </c>
      <c r="U279" s="3"/>
    </row>
    <row r="280" spans="1:21">
      <c r="A280">
        <v>3128</v>
      </c>
      <c r="B280" t="s">
        <v>11</v>
      </c>
      <c r="C280" t="s">
        <v>11</v>
      </c>
      <c r="D280" t="s">
        <v>56</v>
      </c>
      <c r="E280" t="s">
        <v>56</v>
      </c>
      <c r="F280" t="s">
        <v>64</v>
      </c>
      <c r="G280" t="s">
        <v>64</v>
      </c>
      <c r="H280" t="s">
        <v>921</v>
      </c>
      <c r="I280" t="s">
        <v>1084</v>
      </c>
      <c r="J280" s="3" t="s">
        <v>1064</v>
      </c>
      <c r="K280" s="3"/>
      <c r="L280" s="3" t="s">
        <v>1085</v>
      </c>
      <c r="M280" s="3">
        <v>46092</v>
      </c>
      <c r="N280" s="4">
        <v>549996</v>
      </c>
      <c r="O280" s="3" t="s">
        <v>996</v>
      </c>
      <c r="P280" s="3">
        <v>45814.666799999999</v>
      </c>
      <c r="Q280" s="4">
        <v>45814.666799999999</v>
      </c>
      <c r="R280" s="3" t="s">
        <v>997</v>
      </c>
      <c r="S280" s="3" t="s">
        <v>4</v>
      </c>
      <c r="T280" s="3" t="s">
        <v>4</v>
      </c>
      <c r="U280" s="3"/>
    </row>
    <row r="281" spans="1:21">
      <c r="A281">
        <v>3497</v>
      </c>
      <c r="B281" t="s">
        <v>11</v>
      </c>
      <c r="C281" t="s">
        <v>11</v>
      </c>
      <c r="D281" t="s">
        <v>56</v>
      </c>
      <c r="E281" t="s">
        <v>56</v>
      </c>
      <c r="F281" t="s">
        <v>64</v>
      </c>
      <c r="G281" t="s">
        <v>64</v>
      </c>
      <c r="H281" t="s">
        <v>921</v>
      </c>
      <c r="I281" t="s">
        <v>1086</v>
      </c>
      <c r="J281" s="3" t="s">
        <v>981</v>
      </c>
      <c r="K281" s="3"/>
      <c r="L281" s="3" t="s">
        <v>1087</v>
      </c>
      <c r="M281" s="3">
        <v>46254</v>
      </c>
      <c r="N281" s="4" t="s">
        <v>1088</v>
      </c>
      <c r="O281" s="3" t="s">
        <v>918</v>
      </c>
      <c r="P281" s="3">
        <v>57750</v>
      </c>
      <c r="Q281" s="4">
        <v>57750</v>
      </c>
      <c r="R281" s="3" t="s">
        <v>920</v>
      </c>
      <c r="S281" s="3" t="s">
        <v>4</v>
      </c>
      <c r="T281" s="3" t="s">
        <v>4</v>
      </c>
      <c r="U281" s="3"/>
    </row>
    <row r="282" spans="1:21">
      <c r="A282">
        <v>3169</v>
      </c>
      <c r="B282" t="s">
        <v>11</v>
      </c>
      <c r="C282" t="s">
        <v>11</v>
      </c>
      <c r="D282" t="s">
        <v>56</v>
      </c>
      <c r="E282" t="s">
        <v>56</v>
      </c>
      <c r="F282" t="s">
        <v>64</v>
      </c>
      <c r="G282" t="s">
        <v>64</v>
      </c>
      <c r="H282" t="s">
        <v>906</v>
      </c>
      <c r="I282" t="s">
        <v>1089</v>
      </c>
      <c r="J282" s="3" t="s">
        <v>990</v>
      </c>
      <c r="K282" s="3"/>
      <c r="L282" s="3" t="s">
        <v>1090</v>
      </c>
      <c r="M282" s="3">
        <v>46112</v>
      </c>
      <c r="N282" s="4">
        <v>730008</v>
      </c>
      <c r="O282" s="3" t="s">
        <v>1052</v>
      </c>
      <c r="P282" s="3">
        <v>51100.560000000005</v>
      </c>
      <c r="Q282" s="4">
        <v>51100.560000000005</v>
      </c>
      <c r="R282" s="3" t="s">
        <v>768</v>
      </c>
      <c r="S282" s="3" t="s">
        <v>4</v>
      </c>
      <c r="T282" s="3" t="s">
        <v>4</v>
      </c>
      <c r="U282" s="3"/>
    </row>
    <row r="283" spans="1:21">
      <c r="A283">
        <v>3549</v>
      </c>
      <c r="B283" t="s">
        <v>11</v>
      </c>
      <c r="C283" t="s">
        <v>11</v>
      </c>
      <c r="D283" t="s">
        <v>56</v>
      </c>
      <c r="E283" t="s">
        <v>56</v>
      </c>
      <c r="F283" t="s">
        <v>64</v>
      </c>
      <c r="G283" t="s">
        <v>64</v>
      </c>
      <c r="H283" t="s">
        <v>962</v>
      </c>
      <c r="I283" t="s">
        <v>1091</v>
      </c>
      <c r="J283" s="3" t="s">
        <v>1016</v>
      </c>
      <c r="K283" s="3"/>
      <c r="L283" s="3" t="s">
        <v>999</v>
      </c>
      <c r="M283" s="3">
        <v>46275</v>
      </c>
      <c r="N283" s="4">
        <v>794640</v>
      </c>
      <c r="O283" s="3" t="s">
        <v>1023</v>
      </c>
      <c r="P283" s="3">
        <v>55624.800000000003</v>
      </c>
      <c r="Q283" s="4">
        <v>55624.800000000003</v>
      </c>
      <c r="R283" s="3" t="s">
        <v>153</v>
      </c>
      <c r="S283" s="3" t="s">
        <v>19</v>
      </c>
      <c r="T283" s="3" t="s">
        <v>19</v>
      </c>
      <c r="U283" s="3"/>
    </row>
    <row r="284" spans="1:21">
      <c r="A284">
        <v>3100</v>
      </c>
      <c r="B284" t="s">
        <v>11</v>
      </c>
      <c r="C284" t="s">
        <v>11</v>
      </c>
      <c r="D284" t="s">
        <v>56</v>
      </c>
      <c r="E284" t="s">
        <v>56</v>
      </c>
      <c r="F284" t="s">
        <v>64</v>
      </c>
      <c r="G284" t="s">
        <v>64</v>
      </c>
      <c r="H284" t="s">
        <v>962</v>
      </c>
      <c r="I284" t="s">
        <v>1092</v>
      </c>
      <c r="J284" s="3" t="s">
        <v>1093</v>
      </c>
      <c r="K284" s="3"/>
      <c r="L284" s="3" t="s">
        <v>604</v>
      </c>
      <c r="M284" s="3">
        <v>46083</v>
      </c>
      <c r="N284" s="4">
        <v>1780008</v>
      </c>
      <c r="O284" s="3" t="s">
        <v>1094</v>
      </c>
      <c r="P284" s="3">
        <v>148274.66639999999</v>
      </c>
      <c r="Q284" s="4">
        <v>148274.66639999999</v>
      </c>
      <c r="R284" s="3" t="s">
        <v>396</v>
      </c>
      <c r="S284" s="3" t="s">
        <v>4</v>
      </c>
      <c r="T284" s="3" t="s">
        <v>4</v>
      </c>
      <c r="U284" s="3"/>
    </row>
    <row r="285" spans="1:21">
      <c r="A285">
        <v>3070</v>
      </c>
      <c r="B285" t="s">
        <v>11</v>
      </c>
      <c r="C285" t="s">
        <v>11</v>
      </c>
      <c r="D285" t="s">
        <v>56</v>
      </c>
      <c r="E285" t="s">
        <v>56</v>
      </c>
      <c r="F285" t="s">
        <v>64</v>
      </c>
      <c r="G285" t="s">
        <v>64</v>
      </c>
      <c r="H285" t="s">
        <v>962</v>
      </c>
      <c r="I285" t="s">
        <v>1095</v>
      </c>
      <c r="J285" s="3" t="s">
        <v>1093</v>
      </c>
      <c r="K285" s="3"/>
      <c r="L285" s="3" t="s">
        <v>597</v>
      </c>
      <c r="M285" s="3">
        <v>46062</v>
      </c>
      <c r="N285" s="4">
        <v>2199996</v>
      </c>
      <c r="O285" s="3" t="s">
        <v>965</v>
      </c>
      <c r="P285" s="3">
        <v>183259.66680000001</v>
      </c>
      <c r="Q285" s="4">
        <v>183259.66680000001</v>
      </c>
      <c r="R285" s="3" t="s">
        <v>1096</v>
      </c>
      <c r="S285" s="3" t="s">
        <v>4</v>
      </c>
      <c r="T285" s="3" t="s">
        <v>4</v>
      </c>
      <c r="U285" s="3"/>
    </row>
    <row r="286" spans="1:21">
      <c r="A286">
        <v>3071</v>
      </c>
      <c r="B286" t="s">
        <v>11</v>
      </c>
      <c r="C286" t="s">
        <v>11</v>
      </c>
      <c r="D286" t="s">
        <v>56</v>
      </c>
      <c r="E286" t="s">
        <v>56</v>
      </c>
      <c r="F286" t="s">
        <v>64</v>
      </c>
      <c r="G286" t="s">
        <v>64</v>
      </c>
      <c r="H286" t="s">
        <v>1097</v>
      </c>
      <c r="I286" t="s">
        <v>1098</v>
      </c>
      <c r="J286" s="3" t="s">
        <v>1099</v>
      </c>
      <c r="K286" s="3"/>
      <c r="L286" s="3" t="s">
        <v>591</v>
      </c>
      <c r="M286" s="3">
        <v>46062</v>
      </c>
      <c r="N286" s="4">
        <v>1560000</v>
      </c>
      <c r="O286" s="3" t="s">
        <v>1100</v>
      </c>
      <c r="P286" s="3">
        <v>129948</v>
      </c>
      <c r="Q286" s="4">
        <v>129948</v>
      </c>
      <c r="R286" s="3" t="s">
        <v>1096</v>
      </c>
      <c r="S286" s="3" t="s">
        <v>4</v>
      </c>
      <c r="T286" s="3" t="s">
        <v>4</v>
      </c>
      <c r="U286" s="3"/>
    </row>
    <row r="287" spans="1:21">
      <c r="A287">
        <v>3226</v>
      </c>
      <c r="B287" t="s">
        <v>11</v>
      </c>
      <c r="C287" t="s">
        <v>11</v>
      </c>
      <c r="D287" t="s">
        <v>56</v>
      </c>
      <c r="E287" t="s">
        <v>56</v>
      </c>
      <c r="F287" t="s">
        <v>64</v>
      </c>
      <c r="G287" t="s">
        <v>64</v>
      </c>
      <c r="H287" t="s">
        <v>1097</v>
      </c>
      <c r="I287" t="s">
        <v>1101</v>
      </c>
      <c r="J287" s="3" t="s">
        <v>1102</v>
      </c>
      <c r="K287" s="3"/>
      <c r="L287" s="3" t="s">
        <v>1103</v>
      </c>
      <c r="M287" s="3">
        <v>46133</v>
      </c>
      <c r="N287" s="4">
        <v>624996</v>
      </c>
      <c r="O287" s="3" t="s">
        <v>1104</v>
      </c>
      <c r="P287" s="3">
        <v>43749.72</v>
      </c>
      <c r="Q287" s="4">
        <v>43749.72</v>
      </c>
      <c r="R287" s="3" t="s">
        <v>768</v>
      </c>
      <c r="S287" s="3" t="s">
        <v>4</v>
      </c>
      <c r="T287" s="3" t="s">
        <v>4</v>
      </c>
      <c r="U287" s="3"/>
    </row>
    <row r="288" spans="1:21">
      <c r="A288">
        <v>3312</v>
      </c>
      <c r="B288" t="s">
        <v>11</v>
      </c>
      <c r="C288" t="s">
        <v>11</v>
      </c>
      <c r="D288" t="s">
        <v>56</v>
      </c>
      <c r="E288" t="s">
        <v>56</v>
      </c>
      <c r="F288" t="s">
        <v>64</v>
      </c>
      <c r="G288" t="s">
        <v>64</v>
      </c>
      <c r="H288" t="s">
        <v>1097</v>
      </c>
      <c r="I288" t="s">
        <v>1105</v>
      </c>
      <c r="J288" s="3" t="s">
        <v>990</v>
      </c>
      <c r="K288" s="3"/>
      <c r="L288" s="3" t="s">
        <v>1106</v>
      </c>
      <c r="M288" s="3" t="s">
        <v>1039</v>
      </c>
      <c r="N288" s="4">
        <v>936000</v>
      </c>
      <c r="O288" s="3"/>
      <c r="P288" s="3"/>
      <c r="Q288" s="4"/>
      <c r="R288" s="3"/>
      <c r="S288" s="3" t="s">
        <v>21</v>
      </c>
      <c r="T288" s="3" t="s">
        <v>21</v>
      </c>
      <c r="U288" s="3" t="s">
        <v>951</v>
      </c>
    </row>
    <row r="289" spans="1:21">
      <c r="A289">
        <v>3313</v>
      </c>
      <c r="B289" t="s">
        <v>11</v>
      </c>
      <c r="C289" t="s">
        <v>11</v>
      </c>
      <c r="D289" t="s">
        <v>56</v>
      </c>
      <c r="E289" t="s">
        <v>56</v>
      </c>
      <c r="F289" t="s">
        <v>65</v>
      </c>
      <c r="G289" t="s">
        <v>65</v>
      </c>
      <c r="H289" t="s">
        <v>1107</v>
      </c>
      <c r="I289" t="s">
        <v>1108</v>
      </c>
      <c r="J289" s="3" t="s">
        <v>1064</v>
      </c>
      <c r="K289" s="3"/>
      <c r="L289" s="3" t="s">
        <v>1109</v>
      </c>
      <c r="M289" s="3" t="s">
        <v>1039</v>
      </c>
      <c r="N289" s="4">
        <v>535008</v>
      </c>
      <c r="O289" s="3" t="s">
        <v>988</v>
      </c>
      <c r="P289" s="3">
        <v>37450.559999999998</v>
      </c>
      <c r="Q289" s="4">
        <v>37450.559999999998</v>
      </c>
      <c r="R289" s="3" t="s">
        <v>471</v>
      </c>
      <c r="S289" s="3" t="s">
        <v>4</v>
      </c>
      <c r="T289" s="3" t="s">
        <v>4</v>
      </c>
      <c r="U289" s="3"/>
    </row>
    <row r="290" spans="1:21">
      <c r="A290">
        <v>3334</v>
      </c>
      <c r="B290" t="s">
        <v>11</v>
      </c>
      <c r="C290" t="s">
        <v>11</v>
      </c>
      <c r="D290" t="s">
        <v>56</v>
      </c>
      <c r="E290" t="s">
        <v>56</v>
      </c>
      <c r="F290" t="s">
        <v>65</v>
      </c>
      <c r="G290" t="s">
        <v>65</v>
      </c>
      <c r="H290" t="s">
        <v>1107</v>
      </c>
      <c r="I290" t="s">
        <v>1110</v>
      </c>
      <c r="J290" s="3" t="s">
        <v>1064</v>
      </c>
      <c r="K290" s="3"/>
      <c r="L290" s="3" t="s">
        <v>242</v>
      </c>
      <c r="M290" s="3" t="s">
        <v>1111</v>
      </c>
      <c r="N290" s="4">
        <v>604500</v>
      </c>
      <c r="O290" s="3" t="s">
        <v>1112</v>
      </c>
      <c r="P290" s="3">
        <v>42315</v>
      </c>
      <c r="Q290" s="4">
        <v>42315</v>
      </c>
      <c r="R290" s="3" t="s">
        <v>307</v>
      </c>
      <c r="S290" s="3" t="s">
        <v>4</v>
      </c>
      <c r="T290" s="3" t="s">
        <v>4</v>
      </c>
      <c r="U290" s="3"/>
    </row>
    <row r="291" spans="1:21">
      <c r="A291">
        <v>3335</v>
      </c>
      <c r="B291" t="s">
        <v>11</v>
      </c>
      <c r="C291" t="s">
        <v>11</v>
      </c>
      <c r="D291" t="s">
        <v>56</v>
      </c>
      <c r="E291" t="s">
        <v>56</v>
      </c>
      <c r="F291" t="s">
        <v>65</v>
      </c>
      <c r="G291" t="s">
        <v>65</v>
      </c>
      <c r="H291" t="s">
        <v>1107</v>
      </c>
      <c r="I291" t="s">
        <v>1113</v>
      </c>
      <c r="J291" s="3" t="s">
        <v>981</v>
      </c>
      <c r="K291" s="3"/>
      <c r="L291" s="3" t="s">
        <v>1114</v>
      </c>
      <c r="M291" s="3" t="s">
        <v>1115</v>
      </c>
      <c r="N291" s="4">
        <v>875000</v>
      </c>
      <c r="O291" s="3" t="s">
        <v>1017</v>
      </c>
      <c r="P291" s="3">
        <v>61250</v>
      </c>
      <c r="Q291" s="4">
        <v>61250</v>
      </c>
      <c r="R291" s="3" t="s">
        <v>529</v>
      </c>
      <c r="S291" s="3" t="s">
        <v>4</v>
      </c>
      <c r="T291" s="3" t="s">
        <v>4</v>
      </c>
      <c r="U291" s="3"/>
    </row>
    <row r="292" spans="1:21">
      <c r="A292">
        <v>3200</v>
      </c>
      <c r="B292" t="s">
        <v>11</v>
      </c>
      <c r="C292" t="s">
        <v>11</v>
      </c>
      <c r="D292" t="s">
        <v>56</v>
      </c>
      <c r="E292" t="s">
        <v>56</v>
      </c>
      <c r="F292" t="s">
        <v>65</v>
      </c>
      <c r="G292" t="s">
        <v>65</v>
      </c>
      <c r="H292" t="s">
        <v>921</v>
      </c>
      <c r="I292" t="s">
        <v>1116</v>
      </c>
      <c r="J292" s="3" t="s">
        <v>1064</v>
      </c>
      <c r="K292" s="3"/>
      <c r="L292" s="3" t="s">
        <v>327</v>
      </c>
      <c r="M292" s="3">
        <v>46125</v>
      </c>
      <c r="N292" s="4">
        <v>650004</v>
      </c>
      <c r="O292" s="3" t="s">
        <v>1071</v>
      </c>
      <c r="P292" s="3">
        <v>45500.280000000006</v>
      </c>
      <c r="Q292" s="4">
        <v>45500.280000000006</v>
      </c>
      <c r="R292" s="3" t="s">
        <v>768</v>
      </c>
      <c r="S292" s="3" t="s">
        <v>4</v>
      </c>
      <c r="T292" s="3" t="s">
        <v>4</v>
      </c>
      <c r="U292" s="3"/>
    </row>
    <row r="293" spans="1:21">
      <c r="A293">
        <v>3076</v>
      </c>
      <c r="B293" t="s">
        <v>11</v>
      </c>
      <c r="C293" t="s">
        <v>11</v>
      </c>
      <c r="D293" t="s">
        <v>56</v>
      </c>
      <c r="E293" t="s">
        <v>56</v>
      </c>
      <c r="F293" t="s">
        <v>65</v>
      </c>
      <c r="G293" t="s">
        <v>65</v>
      </c>
      <c r="H293" t="s">
        <v>921</v>
      </c>
      <c r="I293" t="s">
        <v>1117</v>
      </c>
      <c r="J293" s="3" t="s">
        <v>985</v>
      </c>
      <c r="K293" s="3"/>
      <c r="L293" s="3" t="s">
        <v>1118</v>
      </c>
      <c r="M293" s="3">
        <v>46066</v>
      </c>
      <c r="N293" s="4">
        <v>505008</v>
      </c>
      <c r="O293" s="3" t="s">
        <v>1119</v>
      </c>
      <c r="P293" s="3">
        <v>42067.166400000002</v>
      </c>
      <c r="Q293" s="4">
        <v>42067.166400000002</v>
      </c>
      <c r="R293" s="3" t="s">
        <v>1096</v>
      </c>
      <c r="S293" s="3" t="s">
        <v>4</v>
      </c>
      <c r="T293" s="3" t="s">
        <v>4</v>
      </c>
      <c r="U293" s="3"/>
    </row>
    <row r="294" spans="1:21">
      <c r="A294">
        <v>3201</v>
      </c>
      <c r="B294" t="s">
        <v>11</v>
      </c>
      <c r="C294" t="s">
        <v>11</v>
      </c>
      <c r="D294" t="s">
        <v>56</v>
      </c>
      <c r="E294" t="s">
        <v>56</v>
      </c>
      <c r="F294" t="s">
        <v>65</v>
      </c>
      <c r="G294" t="s">
        <v>65</v>
      </c>
      <c r="H294" t="s">
        <v>921</v>
      </c>
      <c r="I294" t="s">
        <v>1120</v>
      </c>
      <c r="J294" s="3" t="s">
        <v>981</v>
      </c>
      <c r="K294" s="3"/>
      <c r="L294" s="3" t="s">
        <v>1085</v>
      </c>
      <c r="M294" s="3">
        <v>46127</v>
      </c>
      <c r="N294" s="4">
        <v>954996</v>
      </c>
      <c r="O294" s="3" t="s">
        <v>1071</v>
      </c>
      <c r="P294" s="3">
        <v>66849.72</v>
      </c>
      <c r="Q294" s="4">
        <v>66849.72</v>
      </c>
      <c r="R294" s="3" t="s">
        <v>768</v>
      </c>
      <c r="S294" s="3" t="s">
        <v>4</v>
      </c>
      <c r="T294" s="3" t="s">
        <v>4</v>
      </c>
      <c r="U294" s="3"/>
    </row>
    <row r="295" spans="1:21">
      <c r="A295">
        <v>3264</v>
      </c>
      <c r="B295" t="s">
        <v>11</v>
      </c>
      <c r="C295" t="s">
        <v>11</v>
      </c>
      <c r="D295" t="s">
        <v>56</v>
      </c>
      <c r="E295" t="s">
        <v>56</v>
      </c>
      <c r="F295" t="s">
        <v>65</v>
      </c>
      <c r="G295" t="s">
        <v>65</v>
      </c>
      <c r="H295" t="s">
        <v>921</v>
      </c>
      <c r="I295" t="s">
        <v>1121</v>
      </c>
      <c r="J295" s="3" t="s">
        <v>985</v>
      </c>
      <c r="K295" s="3"/>
      <c r="L295" s="3" t="s">
        <v>1122</v>
      </c>
      <c r="M295" s="3">
        <v>46140</v>
      </c>
      <c r="N295" s="4">
        <v>520008</v>
      </c>
      <c r="O295" s="3" t="s">
        <v>1071</v>
      </c>
      <c r="P295" s="3">
        <v>36400.560000000005</v>
      </c>
      <c r="Q295" s="4">
        <v>36400.560000000005</v>
      </c>
      <c r="R295" s="3" t="s">
        <v>768</v>
      </c>
      <c r="S295" s="3" t="s">
        <v>4</v>
      </c>
      <c r="T295" s="3" t="s">
        <v>4</v>
      </c>
      <c r="U295" s="3"/>
    </row>
    <row r="296" spans="1:21">
      <c r="A296">
        <v>3289</v>
      </c>
      <c r="B296" t="s">
        <v>11</v>
      </c>
      <c r="C296" t="s">
        <v>11</v>
      </c>
      <c r="D296" t="s">
        <v>56</v>
      </c>
      <c r="E296" t="s">
        <v>56</v>
      </c>
      <c r="F296" t="s">
        <v>65</v>
      </c>
      <c r="G296" t="s">
        <v>65</v>
      </c>
      <c r="H296" t="s">
        <v>1123</v>
      </c>
      <c r="I296" t="s">
        <v>1124</v>
      </c>
      <c r="J296" s="3" t="s">
        <v>981</v>
      </c>
      <c r="K296" s="3"/>
      <c r="L296" s="3" t="s">
        <v>1125</v>
      </c>
      <c r="M296" s="3">
        <v>46157</v>
      </c>
      <c r="N296" s="4" t="s">
        <v>1126</v>
      </c>
      <c r="O296" s="3" t="s">
        <v>1006</v>
      </c>
      <c r="P296" s="3">
        <v>57400.56</v>
      </c>
      <c r="Q296" s="4">
        <v>57400.56</v>
      </c>
      <c r="R296" s="3" t="s">
        <v>956</v>
      </c>
      <c r="S296" s="3" t="s">
        <v>4</v>
      </c>
      <c r="T296" s="3" t="s">
        <v>4</v>
      </c>
      <c r="U296" s="3"/>
    </row>
    <row r="297" spans="1:21">
      <c r="A297">
        <v>3376</v>
      </c>
      <c r="B297" t="s">
        <v>11</v>
      </c>
      <c r="C297" t="s">
        <v>11</v>
      </c>
      <c r="D297" t="s">
        <v>56</v>
      </c>
      <c r="E297" t="s">
        <v>56</v>
      </c>
      <c r="F297" t="s">
        <v>65</v>
      </c>
      <c r="G297" t="s">
        <v>65</v>
      </c>
      <c r="H297" t="s">
        <v>1123</v>
      </c>
      <c r="I297" t="s">
        <v>1127</v>
      </c>
      <c r="J297" s="3" t="s">
        <v>1064</v>
      </c>
      <c r="K297" s="3"/>
      <c r="L297" s="3" t="s">
        <v>10</v>
      </c>
      <c r="M297" s="3">
        <v>46202</v>
      </c>
      <c r="N297" s="4" t="s">
        <v>1128</v>
      </c>
      <c r="O297" s="3" t="s">
        <v>969</v>
      </c>
      <c r="P297" s="3">
        <v>38150</v>
      </c>
      <c r="Q297" s="4">
        <v>38150</v>
      </c>
      <c r="R297" s="3" t="s">
        <v>876</v>
      </c>
      <c r="S297" s="3" t="s">
        <v>4</v>
      </c>
      <c r="T297" s="3" t="s">
        <v>4</v>
      </c>
      <c r="U297" s="3"/>
    </row>
    <row r="298" spans="1:21">
      <c r="A298">
        <v>3377</v>
      </c>
      <c r="B298" t="s">
        <v>11</v>
      </c>
      <c r="C298" t="s">
        <v>11</v>
      </c>
      <c r="D298" t="s">
        <v>56</v>
      </c>
      <c r="E298" t="s">
        <v>56</v>
      </c>
      <c r="F298" t="s">
        <v>65</v>
      </c>
      <c r="G298" t="s">
        <v>65</v>
      </c>
      <c r="H298" t="s">
        <v>1123</v>
      </c>
      <c r="I298" t="s">
        <v>1129</v>
      </c>
      <c r="J298" s="3" t="s">
        <v>981</v>
      </c>
      <c r="K298" s="3"/>
      <c r="L298" s="3" t="s">
        <v>1130</v>
      </c>
      <c r="M298" s="3">
        <v>46202</v>
      </c>
      <c r="N298" s="4" t="s">
        <v>1131</v>
      </c>
      <c r="O298" s="3" t="s">
        <v>969</v>
      </c>
      <c r="P298" s="3">
        <v>39270</v>
      </c>
      <c r="Q298" s="4">
        <v>39270</v>
      </c>
      <c r="R298" s="3" t="s">
        <v>876</v>
      </c>
      <c r="S298" s="3" t="s">
        <v>4</v>
      </c>
      <c r="T298" s="3" t="s">
        <v>4</v>
      </c>
      <c r="U298" s="3"/>
    </row>
    <row r="299" spans="1:21">
      <c r="A299">
        <v>3075</v>
      </c>
      <c r="B299" t="s">
        <v>11</v>
      </c>
      <c r="C299" t="s">
        <v>11</v>
      </c>
      <c r="D299" t="s">
        <v>56</v>
      </c>
      <c r="E299" t="s">
        <v>56</v>
      </c>
      <c r="F299" t="s">
        <v>65</v>
      </c>
      <c r="G299" t="s">
        <v>65</v>
      </c>
      <c r="H299" t="s">
        <v>962</v>
      </c>
      <c r="I299" t="s">
        <v>1132</v>
      </c>
      <c r="J299" s="3" t="s">
        <v>1016</v>
      </c>
      <c r="K299" s="3"/>
      <c r="L299" s="3" t="s">
        <v>1133</v>
      </c>
      <c r="M299" s="3">
        <v>46065</v>
      </c>
      <c r="N299" s="4">
        <v>600000</v>
      </c>
      <c r="O299" s="3" t="s">
        <v>965</v>
      </c>
      <c r="P299" s="3">
        <v>49980</v>
      </c>
      <c r="Q299" s="4">
        <v>49980</v>
      </c>
      <c r="R299" s="3" t="s">
        <v>1096</v>
      </c>
      <c r="S299" s="3" t="s">
        <v>4</v>
      </c>
      <c r="T299" s="3" t="s">
        <v>4</v>
      </c>
      <c r="U299" s="3"/>
    </row>
    <row r="300" spans="1:21">
      <c r="A300">
        <v>3084</v>
      </c>
      <c r="B300" t="s">
        <v>11</v>
      </c>
      <c r="C300" t="s">
        <v>11</v>
      </c>
      <c r="D300" t="s">
        <v>56</v>
      </c>
      <c r="E300" t="s">
        <v>56</v>
      </c>
      <c r="F300" t="s">
        <v>65</v>
      </c>
      <c r="G300" t="s">
        <v>65</v>
      </c>
      <c r="H300" t="s">
        <v>962</v>
      </c>
      <c r="I300" t="s">
        <v>1134</v>
      </c>
      <c r="J300" s="3" t="s">
        <v>1016</v>
      </c>
      <c r="K300" s="3"/>
      <c r="L300" s="3" t="s">
        <v>1135</v>
      </c>
      <c r="M300" s="3">
        <v>46069</v>
      </c>
      <c r="N300" s="4">
        <v>584004</v>
      </c>
      <c r="O300" s="3" t="s">
        <v>965</v>
      </c>
      <c r="P300" s="3">
        <v>48647.533199999998</v>
      </c>
      <c r="Q300" s="4">
        <v>48647.533199999998</v>
      </c>
      <c r="R300" s="3" t="s">
        <v>1096</v>
      </c>
      <c r="S300" s="3" t="s">
        <v>4</v>
      </c>
      <c r="T300" s="3" t="s">
        <v>4</v>
      </c>
      <c r="U300" s="3"/>
    </row>
    <row r="301" spans="1:21">
      <c r="A301">
        <v>3263</v>
      </c>
      <c r="B301" t="s">
        <v>11</v>
      </c>
      <c r="C301" t="s">
        <v>11</v>
      </c>
      <c r="D301" t="s">
        <v>56</v>
      </c>
      <c r="E301" t="s">
        <v>56</v>
      </c>
      <c r="F301" t="s">
        <v>65</v>
      </c>
      <c r="G301" t="s">
        <v>65</v>
      </c>
      <c r="H301" t="s">
        <v>1024</v>
      </c>
      <c r="I301" t="s">
        <v>1136</v>
      </c>
      <c r="J301" s="3" t="s">
        <v>1137</v>
      </c>
      <c r="K301" s="3"/>
      <c r="L301" s="3" t="s">
        <v>1138</v>
      </c>
      <c r="M301" s="3">
        <v>46142</v>
      </c>
      <c r="N301" s="4">
        <v>660000</v>
      </c>
      <c r="O301" s="3" t="s">
        <v>1104</v>
      </c>
      <c r="P301" s="3">
        <v>46200.000000000007</v>
      </c>
      <c r="Q301" s="4">
        <v>46200.000000000007</v>
      </c>
      <c r="R301" s="3" t="s">
        <v>768</v>
      </c>
      <c r="S301" s="3" t="s">
        <v>4</v>
      </c>
      <c r="T301" s="3" t="s">
        <v>4</v>
      </c>
      <c r="U301" s="3"/>
    </row>
    <row r="302" spans="1:21">
      <c r="A302">
        <v>3436</v>
      </c>
      <c r="B302" t="s">
        <v>11</v>
      </c>
      <c r="C302" t="s">
        <v>11</v>
      </c>
      <c r="D302" t="s">
        <v>56</v>
      </c>
      <c r="E302" t="s">
        <v>56</v>
      </c>
      <c r="F302" t="s">
        <v>66</v>
      </c>
      <c r="G302" t="s">
        <v>66</v>
      </c>
      <c r="H302" t="s">
        <v>1139</v>
      </c>
      <c r="I302" t="s">
        <v>1140</v>
      </c>
      <c r="J302" s="3" t="s">
        <v>1141</v>
      </c>
      <c r="K302" s="3"/>
      <c r="L302" s="3" t="s">
        <v>166</v>
      </c>
      <c r="M302" s="3">
        <v>46230</v>
      </c>
      <c r="N302" s="4" t="s">
        <v>1142</v>
      </c>
      <c r="O302" s="3" t="s">
        <v>1143</v>
      </c>
      <c r="P302" s="3">
        <v>54145</v>
      </c>
      <c r="Q302" s="4">
        <v>54145</v>
      </c>
      <c r="R302" s="3" t="s">
        <v>1144</v>
      </c>
      <c r="S302" s="3" t="s">
        <v>19</v>
      </c>
      <c r="T302" s="3" t="s">
        <v>19</v>
      </c>
      <c r="U302" s="3"/>
    </row>
    <row r="303" spans="1:21">
      <c r="A303">
        <v>3476</v>
      </c>
      <c r="B303" t="s">
        <v>11</v>
      </c>
      <c r="C303" t="s">
        <v>11</v>
      </c>
      <c r="D303" t="s">
        <v>56</v>
      </c>
      <c r="E303" t="s">
        <v>56</v>
      </c>
      <c r="F303" t="s">
        <v>67</v>
      </c>
      <c r="G303" t="s">
        <v>67</v>
      </c>
      <c r="H303" t="s">
        <v>1107</v>
      </c>
      <c r="I303" t="s">
        <v>1145</v>
      </c>
      <c r="J303" s="3" t="s">
        <v>1146</v>
      </c>
      <c r="K303" s="3"/>
      <c r="L303" s="3" t="s">
        <v>1070</v>
      </c>
      <c r="M303" s="3">
        <v>46237</v>
      </c>
      <c r="N303" s="4">
        <v>787008</v>
      </c>
      <c r="O303" s="3" t="s">
        <v>983</v>
      </c>
      <c r="P303" s="3">
        <v>55090.559999999998</v>
      </c>
      <c r="Q303" s="4">
        <v>55090.559999999998</v>
      </c>
      <c r="R303" s="3" t="s">
        <v>644</v>
      </c>
      <c r="S303" s="3" t="s">
        <v>4</v>
      </c>
      <c r="T303" s="3" t="s">
        <v>4</v>
      </c>
      <c r="U303" s="3"/>
    </row>
    <row r="304" spans="1:21">
      <c r="A304">
        <v>3338</v>
      </c>
      <c r="B304" t="s">
        <v>11</v>
      </c>
      <c r="C304" t="s">
        <v>11</v>
      </c>
      <c r="D304" t="s">
        <v>56</v>
      </c>
      <c r="E304" t="s">
        <v>56</v>
      </c>
      <c r="F304" t="s">
        <v>67</v>
      </c>
      <c r="G304" t="s">
        <v>67</v>
      </c>
      <c r="H304" t="s">
        <v>936</v>
      </c>
      <c r="I304" t="s">
        <v>1147</v>
      </c>
      <c r="J304" s="3" t="s">
        <v>1148</v>
      </c>
      <c r="K304" s="3"/>
      <c r="L304" s="3" t="s">
        <v>604</v>
      </c>
      <c r="M304" s="3">
        <v>46203</v>
      </c>
      <c r="N304" s="4">
        <v>686900</v>
      </c>
      <c r="O304" s="3" t="s">
        <v>1149</v>
      </c>
      <c r="P304" s="3">
        <v>57218.77</v>
      </c>
      <c r="Q304" s="4">
        <v>57218.77</v>
      </c>
      <c r="R304" s="3" t="s">
        <v>401</v>
      </c>
      <c r="S304" s="3" t="s">
        <v>4</v>
      </c>
      <c r="T304" s="3" t="s">
        <v>4</v>
      </c>
      <c r="U304" s="3"/>
    </row>
    <row r="305" spans="1:21">
      <c r="A305">
        <v>3339</v>
      </c>
      <c r="B305" t="s">
        <v>11</v>
      </c>
      <c r="C305" t="s">
        <v>11</v>
      </c>
      <c r="D305" t="s">
        <v>56</v>
      </c>
      <c r="E305" t="s">
        <v>56</v>
      </c>
      <c r="F305" t="s">
        <v>67</v>
      </c>
      <c r="G305" t="s">
        <v>67</v>
      </c>
      <c r="H305" t="s">
        <v>936</v>
      </c>
      <c r="I305" t="s">
        <v>1150</v>
      </c>
      <c r="J305" s="3" t="s">
        <v>1151</v>
      </c>
      <c r="K305" s="3"/>
      <c r="L305" s="3" t="s">
        <v>604</v>
      </c>
      <c r="M305" s="3">
        <v>46199</v>
      </c>
      <c r="N305" s="4" t="s">
        <v>1152</v>
      </c>
      <c r="O305" s="3" t="s">
        <v>1149</v>
      </c>
      <c r="P305" s="3">
        <v>67556.3</v>
      </c>
      <c r="Q305" s="4">
        <v>67556.3</v>
      </c>
      <c r="R305" s="3" t="s">
        <v>401</v>
      </c>
      <c r="S305" s="3" t="s">
        <v>4</v>
      </c>
      <c r="T305" s="3" t="s">
        <v>4</v>
      </c>
      <c r="U305" s="3"/>
    </row>
    <row r="306" spans="1:21">
      <c r="A306">
        <v>3194</v>
      </c>
      <c r="B306" t="s">
        <v>11</v>
      </c>
      <c r="C306" t="s">
        <v>11</v>
      </c>
      <c r="D306" t="s">
        <v>56</v>
      </c>
      <c r="E306" t="s">
        <v>56</v>
      </c>
      <c r="F306" t="s">
        <v>67</v>
      </c>
      <c r="G306" t="s">
        <v>67</v>
      </c>
      <c r="H306" t="s">
        <v>921</v>
      </c>
      <c r="I306" t="s">
        <v>1153</v>
      </c>
      <c r="J306" s="3" t="s">
        <v>1154</v>
      </c>
      <c r="K306" s="3"/>
      <c r="L306" s="3" t="s">
        <v>1155</v>
      </c>
      <c r="M306" s="3">
        <v>46122</v>
      </c>
      <c r="N306" s="4">
        <v>790000</v>
      </c>
      <c r="O306" s="3" t="s">
        <v>1071</v>
      </c>
      <c r="P306" s="3">
        <v>55300.000000000007</v>
      </c>
      <c r="Q306" s="4">
        <v>55300.000000000007</v>
      </c>
      <c r="R306" s="3" t="s">
        <v>768</v>
      </c>
      <c r="S306" s="3" t="s">
        <v>4</v>
      </c>
      <c r="T306" s="3" t="s">
        <v>4</v>
      </c>
      <c r="U306" s="3"/>
    </row>
    <row r="307" spans="1:21">
      <c r="A307">
        <v>3343</v>
      </c>
      <c r="B307" t="s">
        <v>11</v>
      </c>
      <c r="C307" t="s">
        <v>11</v>
      </c>
      <c r="D307" t="s">
        <v>56</v>
      </c>
      <c r="E307" t="s">
        <v>56</v>
      </c>
      <c r="F307" t="s">
        <v>67</v>
      </c>
      <c r="G307" t="s">
        <v>67</v>
      </c>
      <c r="H307" t="s">
        <v>921</v>
      </c>
      <c r="I307" t="s">
        <v>313</v>
      </c>
      <c r="J307" s="3" t="s">
        <v>985</v>
      </c>
      <c r="K307" s="3"/>
      <c r="L307" s="3" t="s">
        <v>12</v>
      </c>
      <c r="M307" s="3" t="s">
        <v>495</v>
      </c>
      <c r="N307" s="4">
        <v>530004</v>
      </c>
      <c r="O307" s="3" t="s">
        <v>1017</v>
      </c>
      <c r="P307" s="3">
        <v>37100.28</v>
      </c>
      <c r="Q307" s="4">
        <v>37100.28</v>
      </c>
      <c r="R307" s="3" t="s">
        <v>529</v>
      </c>
      <c r="S307" s="3" t="s">
        <v>4</v>
      </c>
      <c r="T307" s="3" t="s">
        <v>4</v>
      </c>
      <c r="U307" s="3"/>
    </row>
    <row r="308" spans="1:21">
      <c r="A308">
        <v>3378</v>
      </c>
      <c r="B308" t="s">
        <v>11</v>
      </c>
      <c r="C308" t="s">
        <v>11</v>
      </c>
      <c r="D308" t="s">
        <v>56</v>
      </c>
      <c r="E308" t="s">
        <v>56</v>
      </c>
      <c r="F308" t="s">
        <v>67</v>
      </c>
      <c r="G308" t="s">
        <v>67</v>
      </c>
      <c r="H308" t="s">
        <v>921</v>
      </c>
      <c r="I308" t="s">
        <v>1156</v>
      </c>
      <c r="J308" s="3" t="s">
        <v>985</v>
      </c>
      <c r="K308" s="3"/>
      <c r="L308" s="3" t="s">
        <v>1157</v>
      </c>
      <c r="M308" s="3">
        <v>46204</v>
      </c>
      <c r="N308" s="4" t="s">
        <v>1158</v>
      </c>
      <c r="O308" s="3" t="s">
        <v>969</v>
      </c>
      <c r="P308" s="3">
        <v>35190</v>
      </c>
      <c r="Q308" s="4">
        <v>35190</v>
      </c>
      <c r="R308" s="3" t="s">
        <v>876</v>
      </c>
      <c r="S308" s="3" t="s">
        <v>4</v>
      </c>
      <c r="T308" s="3" t="s">
        <v>4</v>
      </c>
      <c r="U308" s="3"/>
    </row>
    <row r="309" spans="1:21">
      <c r="A309">
        <v>3379</v>
      </c>
      <c r="B309" t="s">
        <v>11</v>
      </c>
      <c r="C309" t="s">
        <v>11</v>
      </c>
      <c r="D309" t="s">
        <v>56</v>
      </c>
      <c r="E309" t="s">
        <v>56</v>
      </c>
      <c r="F309" t="s">
        <v>67</v>
      </c>
      <c r="G309" t="s">
        <v>67</v>
      </c>
      <c r="H309" t="s">
        <v>921</v>
      </c>
      <c r="I309" t="s">
        <v>1159</v>
      </c>
      <c r="J309" s="3" t="s">
        <v>985</v>
      </c>
      <c r="K309" s="3"/>
      <c r="L309" s="3" t="s">
        <v>909</v>
      </c>
      <c r="M309" s="3">
        <v>46205</v>
      </c>
      <c r="N309" s="4" t="s">
        <v>1160</v>
      </c>
      <c r="O309" s="3" t="s">
        <v>969</v>
      </c>
      <c r="P309" s="3">
        <v>40040.28</v>
      </c>
      <c r="Q309" s="4">
        <v>40040.28</v>
      </c>
      <c r="R309" s="3" t="s">
        <v>876</v>
      </c>
      <c r="S309" s="3" t="s">
        <v>4</v>
      </c>
      <c r="T309" s="3" t="s">
        <v>4</v>
      </c>
      <c r="U309" s="3"/>
    </row>
    <row r="310" spans="1:21" ht="27.6">
      <c r="A310">
        <v>3195</v>
      </c>
      <c r="B310" t="s">
        <v>11</v>
      </c>
      <c r="C310" t="s">
        <v>11</v>
      </c>
      <c r="D310" t="s">
        <v>56</v>
      </c>
      <c r="E310" t="s">
        <v>56</v>
      </c>
      <c r="F310" t="s">
        <v>67</v>
      </c>
      <c r="G310" t="s">
        <v>67</v>
      </c>
      <c r="H310" t="s">
        <v>906</v>
      </c>
      <c r="I310" t="s">
        <v>1161</v>
      </c>
      <c r="J310" s="3" t="s">
        <v>1162</v>
      </c>
      <c r="K310" s="3"/>
      <c r="L310" s="3" t="s">
        <v>12</v>
      </c>
      <c r="M310" s="3">
        <v>46122</v>
      </c>
      <c r="N310" s="4">
        <v>897000</v>
      </c>
      <c r="O310" s="3" t="s">
        <v>1052</v>
      </c>
      <c r="P310" s="3">
        <v>62790.000000000007</v>
      </c>
      <c r="Q310" s="4">
        <v>62790.000000000007</v>
      </c>
      <c r="R310" s="3" t="s">
        <v>768</v>
      </c>
      <c r="S310" s="3" t="s">
        <v>4</v>
      </c>
      <c r="T310" s="3" t="s">
        <v>4</v>
      </c>
      <c r="U310" s="3"/>
    </row>
    <row r="311" spans="1:21">
      <c r="A311">
        <v>3345</v>
      </c>
      <c r="B311" t="s">
        <v>11</v>
      </c>
      <c r="C311" t="s">
        <v>11</v>
      </c>
      <c r="D311" t="s">
        <v>56</v>
      </c>
      <c r="E311" t="s">
        <v>56</v>
      </c>
      <c r="F311" t="s">
        <v>67</v>
      </c>
      <c r="G311" t="s">
        <v>67</v>
      </c>
      <c r="H311" t="s">
        <v>906</v>
      </c>
      <c r="I311" t="s">
        <v>1163</v>
      </c>
      <c r="J311" s="3" t="s">
        <v>1164</v>
      </c>
      <c r="K311" s="3"/>
      <c r="L311" s="3" t="s">
        <v>1165</v>
      </c>
      <c r="M311" s="3">
        <v>46183</v>
      </c>
      <c r="N311" s="4">
        <v>780000</v>
      </c>
      <c r="O311" s="3" t="s">
        <v>955</v>
      </c>
      <c r="P311" s="3">
        <v>54600</v>
      </c>
      <c r="Q311" s="4">
        <v>54600</v>
      </c>
      <c r="R311" s="3" t="s">
        <v>495</v>
      </c>
      <c r="S311" s="3" t="s">
        <v>4</v>
      </c>
      <c r="T311" s="3" t="s">
        <v>4</v>
      </c>
      <c r="U311" s="3"/>
    </row>
    <row r="312" spans="1:21">
      <c r="A312">
        <v>3506</v>
      </c>
      <c r="B312" t="s">
        <v>11</v>
      </c>
      <c r="C312" t="s">
        <v>11</v>
      </c>
      <c r="D312" t="s">
        <v>56</v>
      </c>
      <c r="E312" t="s">
        <v>56</v>
      </c>
      <c r="F312" t="s">
        <v>67</v>
      </c>
      <c r="G312" t="s">
        <v>67</v>
      </c>
      <c r="H312" t="s">
        <v>957</v>
      </c>
      <c r="I312" t="s">
        <v>1166</v>
      </c>
      <c r="J312" s="3" t="s">
        <v>990</v>
      </c>
      <c r="K312" s="3"/>
      <c r="L312" s="3" t="s">
        <v>1167</v>
      </c>
      <c r="M312" s="3">
        <v>46259</v>
      </c>
      <c r="N312" s="4">
        <v>800000</v>
      </c>
      <c r="O312" s="3" t="s">
        <v>918</v>
      </c>
      <c r="P312" s="3">
        <v>56000</v>
      </c>
      <c r="Q312" s="4">
        <v>56000</v>
      </c>
      <c r="R312" s="3" t="s">
        <v>920</v>
      </c>
      <c r="S312" s="3" t="s">
        <v>4</v>
      </c>
      <c r="T312" s="3" t="s">
        <v>4</v>
      </c>
      <c r="U312" s="3"/>
    </row>
    <row r="313" spans="1:21" ht="27.6">
      <c r="A313">
        <v>3158</v>
      </c>
      <c r="B313" t="s">
        <v>11</v>
      </c>
      <c r="C313" t="s">
        <v>11</v>
      </c>
      <c r="D313" t="s">
        <v>56</v>
      </c>
      <c r="E313" t="s">
        <v>56</v>
      </c>
      <c r="F313" t="s">
        <v>67</v>
      </c>
      <c r="G313" t="s">
        <v>67</v>
      </c>
      <c r="H313" t="s">
        <v>1168</v>
      </c>
      <c r="I313" t="s">
        <v>1169</v>
      </c>
      <c r="J313" s="3" t="s">
        <v>1170</v>
      </c>
      <c r="K313" s="3"/>
      <c r="L313" s="3" t="s">
        <v>1171</v>
      </c>
      <c r="M313" s="3">
        <v>46101</v>
      </c>
      <c r="N313" s="4">
        <v>900000</v>
      </c>
      <c r="O313" s="3" t="s">
        <v>1094</v>
      </c>
      <c r="P313" s="3">
        <v>74970</v>
      </c>
      <c r="Q313" s="4">
        <v>74970</v>
      </c>
      <c r="R313" s="3" t="s">
        <v>396</v>
      </c>
      <c r="S313" s="3" t="s">
        <v>4</v>
      </c>
      <c r="T313" s="3" t="s">
        <v>4</v>
      </c>
      <c r="U313" s="3"/>
    </row>
    <row r="314" spans="1:21">
      <c r="A314">
        <v>3292</v>
      </c>
      <c r="B314" t="s">
        <v>11</v>
      </c>
      <c r="C314" t="s">
        <v>11</v>
      </c>
      <c r="D314" t="s">
        <v>56</v>
      </c>
      <c r="E314" t="s">
        <v>56</v>
      </c>
      <c r="F314" t="s">
        <v>67</v>
      </c>
      <c r="G314" t="s">
        <v>67</v>
      </c>
      <c r="H314" t="s">
        <v>1168</v>
      </c>
      <c r="I314" t="s">
        <v>1172</v>
      </c>
      <c r="J314" s="3" t="s">
        <v>1173</v>
      </c>
      <c r="K314" s="3"/>
      <c r="L314" s="3" t="s">
        <v>1155</v>
      </c>
      <c r="M314" s="3">
        <v>46163</v>
      </c>
      <c r="N314" s="4">
        <v>1599996</v>
      </c>
      <c r="O314" s="3" t="s">
        <v>911</v>
      </c>
      <c r="P314" s="3">
        <v>111999.72</v>
      </c>
      <c r="Q314" s="4">
        <v>111999.72</v>
      </c>
      <c r="R314" s="3" t="s">
        <v>557</v>
      </c>
      <c r="S314" s="3" t="s">
        <v>4</v>
      </c>
      <c r="T314" s="3" t="s">
        <v>4</v>
      </c>
      <c r="U314" s="3"/>
    </row>
    <row r="315" spans="1:21">
      <c r="A315">
        <v>3546</v>
      </c>
      <c r="B315" t="s">
        <v>11</v>
      </c>
      <c r="C315" t="s">
        <v>11</v>
      </c>
      <c r="D315" t="s">
        <v>56</v>
      </c>
      <c r="E315" t="s">
        <v>56</v>
      </c>
      <c r="F315" t="s">
        <v>68</v>
      </c>
      <c r="G315" t="s">
        <v>68</v>
      </c>
      <c r="H315" t="s">
        <v>1139</v>
      </c>
      <c r="I315" t="s">
        <v>1174</v>
      </c>
      <c r="J315" s="3" t="s">
        <v>158</v>
      </c>
      <c r="K315" s="3"/>
      <c r="L315" s="3" t="s">
        <v>166</v>
      </c>
      <c r="M315" s="3">
        <v>46272</v>
      </c>
      <c r="N315" s="4">
        <v>900000</v>
      </c>
      <c r="O315" s="3" t="s">
        <v>1175</v>
      </c>
      <c r="P315" s="3">
        <v>74970</v>
      </c>
      <c r="Q315" s="4">
        <v>74970</v>
      </c>
      <c r="R315" s="3" t="s">
        <v>1176</v>
      </c>
      <c r="S315" s="3" t="s">
        <v>19</v>
      </c>
      <c r="T315" s="3" t="s">
        <v>19</v>
      </c>
      <c r="U315" s="3"/>
    </row>
    <row r="316" spans="1:21">
      <c r="A316">
        <v>3548</v>
      </c>
      <c r="B316" t="s">
        <v>11</v>
      </c>
      <c r="C316" t="s">
        <v>11</v>
      </c>
      <c r="D316" t="s">
        <v>56</v>
      </c>
      <c r="E316" t="s">
        <v>56</v>
      </c>
      <c r="F316" t="s">
        <v>68</v>
      </c>
      <c r="G316" t="s">
        <v>68</v>
      </c>
      <c r="H316" t="s">
        <v>921</v>
      </c>
      <c r="I316" t="s">
        <v>1177</v>
      </c>
      <c r="J316" s="3" t="s">
        <v>908</v>
      </c>
      <c r="K316" s="3"/>
      <c r="L316" s="3" t="s">
        <v>1178</v>
      </c>
      <c r="M316" s="3">
        <v>46274</v>
      </c>
      <c r="N316" s="4">
        <v>1600008</v>
      </c>
      <c r="O316" s="3" t="s">
        <v>1023</v>
      </c>
      <c r="P316" s="3" t="s">
        <v>1179</v>
      </c>
      <c r="Q316" s="4">
        <v>112000.56</v>
      </c>
      <c r="R316" s="3" t="s">
        <v>153</v>
      </c>
      <c r="S316" s="3" t="s">
        <v>19</v>
      </c>
      <c r="T316" s="3" t="s">
        <v>19</v>
      </c>
      <c r="U316" s="3"/>
    </row>
    <row r="317" spans="1:21">
      <c r="A317">
        <v>3129</v>
      </c>
      <c r="B317" t="s">
        <v>11</v>
      </c>
      <c r="C317" t="s">
        <v>11</v>
      </c>
      <c r="D317" t="s">
        <v>56</v>
      </c>
      <c r="E317" t="s">
        <v>56</v>
      </c>
      <c r="F317" t="s">
        <v>68</v>
      </c>
      <c r="G317" t="s">
        <v>68</v>
      </c>
      <c r="H317" t="s">
        <v>921</v>
      </c>
      <c r="I317" t="s">
        <v>1180</v>
      </c>
      <c r="J317" s="3" t="s">
        <v>188</v>
      </c>
      <c r="K317" s="3"/>
      <c r="L317" s="3" t="s">
        <v>1181</v>
      </c>
      <c r="M317" s="3">
        <v>46092</v>
      </c>
      <c r="N317" s="4">
        <v>1100004</v>
      </c>
      <c r="O317" s="3" t="s">
        <v>996</v>
      </c>
      <c r="P317" s="3">
        <v>91630.333199999994</v>
      </c>
      <c r="Q317" s="4">
        <v>91630.333199999994</v>
      </c>
      <c r="R317" s="3" t="s">
        <v>997</v>
      </c>
      <c r="S317" s="3" t="s">
        <v>4</v>
      </c>
      <c r="T317" s="3" t="s">
        <v>4</v>
      </c>
      <c r="U317" s="3"/>
    </row>
    <row r="318" spans="1:21">
      <c r="A318">
        <v>3085</v>
      </c>
      <c r="B318" t="s">
        <v>11</v>
      </c>
      <c r="C318" t="s">
        <v>11</v>
      </c>
      <c r="D318" t="s">
        <v>56</v>
      </c>
      <c r="E318" t="s">
        <v>56</v>
      </c>
      <c r="F318" t="s">
        <v>68</v>
      </c>
      <c r="G318" t="s">
        <v>68</v>
      </c>
      <c r="H318" t="s">
        <v>921</v>
      </c>
      <c r="I318" t="s">
        <v>1182</v>
      </c>
      <c r="J318" s="3" t="s">
        <v>1173</v>
      </c>
      <c r="K318" s="3"/>
      <c r="L318" s="3" t="s">
        <v>315</v>
      </c>
      <c r="M318" s="3">
        <v>46072</v>
      </c>
      <c r="N318" s="4">
        <v>1895004</v>
      </c>
      <c r="O318" s="3" t="s">
        <v>1119</v>
      </c>
      <c r="P318" s="3">
        <v>157853.83319999999</v>
      </c>
      <c r="Q318" s="4">
        <v>157853.83319999999</v>
      </c>
      <c r="R318" s="3" t="s">
        <v>1096</v>
      </c>
      <c r="S318" s="3" t="s">
        <v>4</v>
      </c>
      <c r="T318" s="3" t="s">
        <v>4</v>
      </c>
      <c r="U318" s="3"/>
    </row>
    <row r="319" spans="1:21">
      <c r="A319">
        <v>3511</v>
      </c>
      <c r="B319" t="s">
        <v>11</v>
      </c>
      <c r="C319" t="s">
        <v>11</v>
      </c>
      <c r="D319" t="s">
        <v>56</v>
      </c>
      <c r="E319" t="s">
        <v>56</v>
      </c>
      <c r="F319" t="s">
        <v>68</v>
      </c>
      <c r="G319" t="s">
        <v>68</v>
      </c>
      <c r="H319" t="s">
        <v>921</v>
      </c>
      <c r="I319" t="s">
        <v>1183</v>
      </c>
      <c r="J319" s="3" t="s">
        <v>908</v>
      </c>
      <c r="K319" s="3"/>
      <c r="L319" s="3" t="s">
        <v>1184</v>
      </c>
      <c r="M319" s="3">
        <v>46266</v>
      </c>
      <c r="N319" s="4">
        <v>1600008</v>
      </c>
      <c r="O319" s="3" t="s">
        <v>1023</v>
      </c>
      <c r="P319" s="3" t="s">
        <v>1179</v>
      </c>
      <c r="Q319" s="4">
        <v>112000.56</v>
      </c>
      <c r="R319" s="3" t="s">
        <v>153</v>
      </c>
      <c r="S319" s="3" t="s">
        <v>19</v>
      </c>
      <c r="T319" s="3" t="s">
        <v>19</v>
      </c>
      <c r="U319" s="3"/>
    </row>
    <row r="320" spans="1:21">
      <c r="A320">
        <v>3291</v>
      </c>
      <c r="B320" t="s">
        <v>11</v>
      </c>
      <c r="C320" t="s">
        <v>11</v>
      </c>
      <c r="D320" t="s">
        <v>56</v>
      </c>
      <c r="E320" t="s">
        <v>56</v>
      </c>
      <c r="F320" t="s">
        <v>68</v>
      </c>
      <c r="G320" t="s">
        <v>68</v>
      </c>
      <c r="H320" t="s">
        <v>921</v>
      </c>
      <c r="I320" t="s">
        <v>1185</v>
      </c>
      <c r="J320" s="3" t="s">
        <v>863</v>
      </c>
      <c r="K320" s="3"/>
      <c r="L320" s="3" t="s">
        <v>1186</v>
      </c>
      <c r="M320" s="3">
        <v>46160</v>
      </c>
      <c r="N320" s="4">
        <v>776000</v>
      </c>
      <c r="O320" s="3" t="s">
        <v>911</v>
      </c>
      <c r="P320" s="3">
        <v>54320</v>
      </c>
      <c r="Q320" s="4">
        <v>54320</v>
      </c>
      <c r="R320" s="3" t="s">
        <v>557</v>
      </c>
      <c r="S320" s="3" t="s">
        <v>4</v>
      </c>
      <c r="T320" s="3" t="s">
        <v>4</v>
      </c>
      <c r="U320" s="3"/>
    </row>
    <row r="321" spans="1:21">
      <c r="A321">
        <v>3507</v>
      </c>
      <c r="B321" t="s">
        <v>11</v>
      </c>
      <c r="C321" t="s">
        <v>11</v>
      </c>
      <c r="D321" t="s">
        <v>56</v>
      </c>
      <c r="E321" t="s">
        <v>56</v>
      </c>
      <c r="F321" t="s">
        <v>68</v>
      </c>
      <c r="G321" t="s">
        <v>68</v>
      </c>
      <c r="H321" t="s">
        <v>906</v>
      </c>
      <c r="I321" t="s">
        <v>1187</v>
      </c>
      <c r="J321" s="3" t="s">
        <v>1188</v>
      </c>
      <c r="K321" s="3"/>
      <c r="L321" s="3" t="s">
        <v>954</v>
      </c>
      <c r="M321" s="3">
        <v>46260</v>
      </c>
      <c r="N321" s="4">
        <v>850000</v>
      </c>
      <c r="O321" s="3" t="s">
        <v>918</v>
      </c>
      <c r="P321" s="3">
        <v>59500</v>
      </c>
      <c r="Q321" s="4">
        <v>59500</v>
      </c>
      <c r="R321" s="3" t="s">
        <v>920</v>
      </c>
      <c r="S321" s="3" t="s">
        <v>4</v>
      </c>
      <c r="T321" s="3" t="s">
        <v>4</v>
      </c>
      <c r="U321" s="3"/>
    </row>
    <row r="322" spans="1:21">
      <c r="A322">
        <v>3191</v>
      </c>
      <c r="B322" t="s">
        <v>11</v>
      </c>
      <c r="C322" t="s">
        <v>11</v>
      </c>
      <c r="D322" t="s">
        <v>56</v>
      </c>
      <c r="E322" t="s">
        <v>56</v>
      </c>
      <c r="F322" t="s">
        <v>68</v>
      </c>
      <c r="G322" t="s">
        <v>68</v>
      </c>
      <c r="H322" t="s">
        <v>906</v>
      </c>
      <c r="I322" t="s">
        <v>1189</v>
      </c>
      <c r="J322" s="3" t="s">
        <v>1036</v>
      </c>
      <c r="K322" s="3"/>
      <c r="L322" s="3" t="s">
        <v>144</v>
      </c>
      <c r="M322" s="3">
        <v>46118</v>
      </c>
      <c r="N322" s="4">
        <v>1040004</v>
      </c>
      <c r="O322" s="3" t="s">
        <v>1052</v>
      </c>
      <c r="P322" s="3">
        <v>72800.280000000013</v>
      </c>
      <c r="Q322" s="4">
        <v>72800.280000000013</v>
      </c>
      <c r="R322" s="3" t="s">
        <v>768</v>
      </c>
      <c r="S322" s="3" t="s">
        <v>4</v>
      </c>
      <c r="T322" s="3" t="s">
        <v>4</v>
      </c>
      <c r="U322" s="3"/>
    </row>
    <row r="323" spans="1:21">
      <c r="A323">
        <v>3457</v>
      </c>
      <c r="B323" t="s">
        <v>11</v>
      </c>
      <c r="C323" t="s">
        <v>11</v>
      </c>
      <c r="D323" t="s">
        <v>56</v>
      </c>
      <c r="E323" t="s">
        <v>56</v>
      </c>
      <c r="F323" t="s">
        <v>68</v>
      </c>
      <c r="G323" t="s">
        <v>68</v>
      </c>
      <c r="H323" t="s">
        <v>906</v>
      </c>
      <c r="I323" t="s">
        <v>1190</v>
      </c>
      <c r="J323" s="3" t="s">
        <v>1188</v>
      </c>
      <c r="K323" s="3"/>
      <c r="L323" s="3" t="s">
        <v>127</v>
      </c>
      <c r="M323" s="3">
        <v>46237</v>
      </c>
      <c r="N323" s="4">
        <v>780000</v>
      </c>
      <c r="O323" s="3" t="s">
        <v>983</v>
      </c>
      <c r="P323" s="3">
        <v>54600</v>
      </c>
      <c r="Q323" s="4">
        <v>54600</v>
      </c>
      <c r="R323" s="3" t="s">
        <v>644</v>
      </c>
      <c r="S323" s="3" t="s">
        <v>4</v>
      </c>
      <c r="T323" s="3" t="s">
        <v>4</v>
      </c>
      <c r="U323" s="3"/>
    </row>
    <row r="324" spans="1:21">
      <c r="A324">
        <v>3333</v>
      </c>
      <c r="B324" t="s">
        <v>11</v>
      </c>
      <c r="C324" t="s">
        <v>11</v>
      </c>
      <c r="D324" t="s">
        <v>56</v>
      </c>
      <c r="E324" t="s">
        <v>56</v>
      </c>
      <c r="F324" t="s">
        <v>69</v>
      </c>
      <c r="G324" t="s">
        <v>69</v>
      </c>
      <c r="H324" t="s">
        <v>1107</v>
      </c>
      <c r="I324" t="s">
        <v>1191</v>
      </c>
      <c r="J324" s="3" t="s">
        <v>1064</v>
      </c>
      <c r="K324" s="3"/>
      <c r="L324" s="3" t="s">
        <v>11</v>
      </c>
      <c r="M324" s="3" t="s">
        <v>1192</v>
      </c>
      <c r="N324" s="4">
        <v>525000</v>
      </c>
      <c r="O324" s="3" t="s">
        <v>988</v>
      </c>
      <c r="P324" s="3">
        <v>36750</v>
      </c>
      <c r="Q324" s="4">
        <v>36750</v>
      </c>
      <c r="R324" s="3" t="s">
        <v>471</v>
      </c>
      <c r="S324" s="3" t="s">
        <v>4</v>
      </c>
      <c r="T324" s="3" t="s">
        <v>4</v>
      </c>
      <c r="U324" s="3"/>
    </row>
    <row r="325" spans="1:21">
      <c r="A325">
        <v>3419</v>
      </c>
      <c r="B325" t="s">
        <v>11</v>
      </c>
      <c r="C325" t="s">
        <v>11</v>
      </c>
      <c r="D325" t="s">
        <v>56</v>
      </c>
      <c r="E325" t="s">
        <v>56</v>
      </c>
      <c r="F325" t="s">
        <v>69</v>
      </c>
      <c r="G325" t="s">
        <v>69</v>
      </c>
      <c r="H325" t="s">
        <v>921</v>
      </c>
      <c r="I325" t="s">
        <v>1193</v>
      </c>
      <c r="J325" s="3" t="s">
        <v>990</v>
      </c>
      <c r="K325" s="3"/>
      <c r="L325" s="3" t="s">
        <v>1194</v>
      </c>
      <c r="M325" s="3">
        <v>46221</v>
      </c>
      <c r="N325" s="4">
        <v>900000</v>
      </c>
      <c r="O325" s="3" t="s">
        <v>944</v>
      </c>
      <c r="P325" s="3">
        <v>63000</v>
      </c>
      <c r="Q325" s="4">
        <v>63000</v>
      </c>
      <c r="R325" s="3" t="s">
        <v>341</v>
      </c>
      <c r="S325" s="3" t="s">
        <v>4</v>
      </c>
      <c r="T325" s="3" t="s">
        <v>4</v>
      </c>
      <c r="U325" s="3"/>
    </row>
    <row r="326" spans="1:21">
      <c r="A326">
        <v>3458</v>
      </c>
      <c r="B326" t="s">
        <v>11</v>
      </c>
      <c r="C326" t="s">
        <v>11</v>
      </c>
      <c r="D326" t="s">
        <v>56</v>
      </c>
      <c r="E326" t="s">
        <v>56</v>
      </c>
      <c r="F326" t="s">
        <v>69</v>
      </c>
      <c r="G326" t="s">
        <v>69</v>
      </c>
      <c r="H326" t="s">
        <v>906</v>
      </c>
      <c r="I326" t="s">
        <v>1195</v>
      </c>
      <c r="J326" s="3" t="s">
        <v>908</v>
      </c>
      <c r="K326" s="3"/>
      <c r="L326" s="3" t="s">
        <v>1196</v>
      </c>
      <c r="M326" s="3">
        <v>46237</v>
      </c>
      <c r="N326" s="4">
        <v>1980000</v>
      </c>
      <c r="O326" s="3" t="s">
        <v>944</v>
      </c>
      <c r="P326" s="3">
        <v>138600</v>
      </c>
      <c r="Q326" s="4">
        <v>138600</v>
      </c>
      <c r="R326" s="3" t="s">
        <v>341</v>
      </c>
      <c r="S326" s="3" t="s">
        <v>4</v>
      </c>
      <c r="T326" s="3" t="s">
        <v>4</v>
      </c>
      <c r="U326" s="3"/>
    </row>
    <row r="327" spans="1:21">
      <c r="A327">
        <v>3031</v>
      </c>
      <c r="B327" t="s">
        <v>11</v>
      </c>
      <c r="C327" t="s">
        <v>11</v>
      </c>
      <c r="D327" t="s">
        <v>56</v>
      </c>
      <c r="E327" t="s">
        <v>56</v>
      </c>
      <c r="F327" t="s">
        <v>70</v>
      </c>
      <c r="G327" t="s">
        <v>70</v>
      </c>
      <c r="H327" t="s">
        <v>1197</v>
      </c>
      <c r="I327" t="s">
        <v>1198</v>
      </c>
      <c r="J327" s="3" t="s">
        <v>1199</v>
      </c>
      <c r="K327" s="3"/>
      <c r="L327" s="3" t="s">
        <v>604</v>
      </c>
      <c r="M327" s="3">
        <v>46041</v>
      </c>
      <c r="N327" s="4">
        <v>1500000</v>
      </c>
      <c r="O327" s="3" t="s">
        <v>1200</v>
      </c>
      <c r="P327" s="3">
        <v>124950</v>
      </c>
      <c r="Q327" s="4">
        <v>124950</v>
      </c>
      <c r="R327" s="3" t="s">
        <v>504</v>
      </c>
      <c r="S327" s="3" t="s">
        <v>4</v>
      </c>
      <c r="T327" s="3" t="s">
        <v>4</v>
      </c>
      <c r="U327" s="3"/>
    </row>
    <row r="328" spans="1:21">
      <c r="A328">
        <v>3160</v>
      </c>
      <c r="B328" t="s">
        <v>11</v>
      </c>
      <c r="C328" t="s">
        <v>11</v>
      </c>
      <c r="D328" t="s">
        <v>56</v>
      </c>
      <c r="E328" t="s">
        <v>56</v>
      </c>
      <c r="F328" t="s">
        <v>70</v>
      </c>
      <c r="G328" t="s">
        <v>70</v>
      </c>
      <c r="H328" t="s">
        <v>921</v>
      </c>
      <c r="I328" t="s">
        <v>1201</v>
      </c>
      <c r="J328" s="3" t="s">
        <v>1064</v>
      </c>
      <c r="K328" s="3"/>
      <c r="L328" s="3" t="s">
        <v>10</v>
      </c>
      <c r="M328" s="3">
        <v>46105</v>
      </c>
      <c r="N328" s="4">
        <v>525000</v>
      </c>
      <c r="O328" s="3" t="s">
        <v>996</v>
      </c>
      <c r="P328" s="3">
        <v>43732.5</v>
      </c>
      <c r="Q328" s="4">
        <v>43732.5</v>
      </c>
      <c r="R328" s="3" t="s">
        <v>997</v>
      </c>
      <c r="S328" s="3" t="s">
        <v>4</v>
      </c>
      <c r="T328" s="3" t="s">
        <v>4</v>
      </c>
      <c r="U328" s="3"/>
    </row>
    <row r="329" spans="1:21">
      <c r="A329">
        <v>3290</v>
      </c>
      <c r="B329" t="s">
        <v>11</v>
      </c>
      <c r="C329" t="s">
        <v>11</v>
      </c>
      <c r="D329" t="s">
        <v>56</v>
      </c>
      <c r="E329" t="s">
        <v>56</v>
      </c>
      <c r="F329" t="s">
        <v>70</v>
      </c>
      <c r="G329" t="s">
        <v>70</v>
      </c>
      <c r="H329" t="s">
        <v>1123</v>
      </c>
      <c r="I329" t="s">
        <v>1202</v>
      </c>
      <c r="J329" s="3" t="s">
        <v>1203</v>
      </c>
      <c r="K329" s="3"/>
      <c r="L329" s="3" t="s">
        <v>12</v>
      </c>
      <c r="M329" s="3">
        <v>46161</v>
      </c>
      <c r="N329" s="4">
        <v>1310000</v>
      </c>
      <c r="O329" s="3" t="s">
        <v>911</v>
      </c>
      <c r="P329" s="3">
        <v>91700</v>
      </c>
      <c r="Q329" s="4">
        <v>91700</v>
      </c>
      <c r="R329" s="3" t="s">
        <v>557</v>
      </c>
      <c r="S329" s="3" t="s">
        <v>4</v>
      </c>
      <c r="T329" s="3" t="s">
        <v>4</v>
      </c>
      <c r="U329" s="3"/>
    </row>
    <row r="330" spans="1:21">
      <c r="A330">
        <v>3041</v>
      </c>
      <c r="B330" t="s">
        <v>11</v>
      </c>
      <c r="C330" t="s">
        <v>11</v>
      </c>
      <c r="D330" t="s">
        <v>56</v>
      </c>
      <c r="E330" t="s">
        <v>56</v>
      </c>
      <c r="F330" t="s">
        <v>70</v>
      </c>
      <c r="G330" t="s">
        <v>70</v>
      </c>
      <c r="H330" t="s">
        <v>1123</v>
      </c>
      <c r="I330" t="s">
        <v>1204</v>
      </c>
      <c r="J330" s="3" t="s">
        <v>981</v>
      </c>
      <c r="K330" s="3"/>
      <c r="L330" s="3" t="s">
        <v>1205</v>
      </c>
      <c r="M330" s="3">
        <v>46043</v>
      </c>
      <c r="N330" s="4">
        <v>650000</v>
      </c>
      <c r="O330" s="3" t="s">
        <v>1002</v>
      </c>
      <c r="P330" s="3">
        <v>54145</v>
      </c>
      <c r="Q330" s="4">
        <v>54145</v>
      </c>
      <c r="R330" s="3" t="s">
        <v>961</v>
      </c>
      <c r="S330" s="3" t="s">
        <v>4</v>
      </c>
      <c r="T330" s="3" t="s">
        <v>4</v>
      </c>
      <c r="U330" s="3"/>
    </row>
    <row r="331" spans="1:21">
      <c r="A331">
        <v>3101</v>
      </c>
      <c r="B331" t="s">
        <v>11</v>
      </c>
      <c r="C331" t="s">
        <v>11</v>
      </c>
      <c r="D331" t="s">
        <v>56</v>
      </c>
      <c r="E331" t="s">
        <v>56</v>
      </c>
      <c r="F331" t="s">
        <v>70</v>
      </c>
      <c r="G331" t="s">
        <v>70</v>
      </c>
      <c r="H331" t="s">
        <v>1123</v>
      </c>
      <c r="I331" t="s">
        <v>1206</v>
      </c>
      <c r="J331" s="3" t="s">
        <v>1064</v>
      </c>
      <c r="K331" s="3"/>
      <c r="L331" s="3" t="s">
        <v>1207</v>
      </c>
      <c r="M331" s="3">
        <v>46083</v>
      </c>
      <c r="N331" s="4">
        <v>600000</v>
      </c>
      <c r="O331" s="3" t="s">
        <v>996</v>
      </c>
      <c r="P331" s="3">
        <v>49980</v>
      </c>
      <c r="Q331" s="4">
        <v>49980</v>
      </c>
      <c r="R331" s="3" t="s">
        <v>997</v>
      </c>
      <c r="S331" s="3" t="s">
        <v>4</v>
      </c>
      <c r="T331" s="3" t="s">
        <v>4</v>
      </c>
      <c r="U331" s="3"/>
    </row>
    <row r="332" spans="1:21">
      <c r="A332">
        <v>3016</v>
      </c>
      <c r="B332" t="s">
        <v>11</v>
      </c>
      <c r="C332" t="s">
        <v>11</v>
      </c>
      <c r="D332" t="s">
        <v>56</v>
      </c>
      <c r="E332" t="s">
        <v>56</v>
      </c>
      <c r="F332" t="s">
        <v>71</v>
      </c>
      <c r="G332" t="s">
        <v>71</v>
      </c>
      <c r="H332" t="s">
        <v>936</v>
      </c>
      <c r="I332" t="s">
        <v>1208</v>
      </c>
      <c r="J332" s="3" t="s">
        <v>1203</v>
      </c>
      <c r="K332" s="3"/>
      <c r="L332" s="3" t="s">
        <v>939</v>
      </c>
      <c r="M332" s="3">
        <v>46034</v>
      </c>
      <c r="N332" s="4">
        <v>537500</v>
      </c>
      <c r="O332" s="3" t="s">
        <v>1047</v>
      </c>
      <c r="P332" s="3">
        <v>44773.75</v>
      </c>
      <c r="Q332" s="4">
        <v>44773.75</v>
      </c>
      <c r="R332" s="3" t="s">
        <v>1048</v>
      </c>
      <c r="S332" s="3" t="s">
        <v>4</v>
      </c>
      <c r="T332" s="3" t="s">
        <v>4</v>
      </c>
      <c r="U332" s="3"/>
    </row>
    <row r="333" spans="1:21">
      <c r="A333">
        <v>3545</v>
      </c>
      <c r="B333" t="s">
        <v>11</v>
      </c>
      <c r="C333" t="s">
        <v>11</v>
      </c>
      <c r="D333" t="s">
        <v>56</v>
      </c>
      <c r="E333" t="s">
        <v>56</v>
      </c>
      <c r="F333" t="s">
        <v>72</v>
      </c>
      <c r="G333" t="s">
        <v>72</v>
      </c>
      <c r="H333" t="s">
        <v>936</v>
      </c>
      <c r="I333" t="s">
        <v>1209</v>
      </c>
      <c r="J333" s="3" t="s">
        <v>1210</v>
      </c>
      <c r="K333" s="3"/>
      <c r="L333" s="3" t="s">
        <v>604</v>
      </c>
      <c r="M333" s="3">
        <v>46272</v>
      </c>
      <c r="N333" s="4">
        <v>590000</v>
      </c>
      <c r="O333" s="3"/>
      <c r="P333" s="3">
        <v>49147</v>
      </c>
      <c r="Q333" s="4">
        <v>49147</v>
      </c>
      <c r="R333" s="3"/>
      <c r="S333" s="3" t="s">
        <v>20</v>
      </c>
      <c r="T333" s="3" t="s">
        <v>20</v>
      </c>
      <c r="U333" s="3"/>
    </row>
    <row r="334" spans="1:21">
      <c r="A334">
        <v>3052</v>
      </c>
      <c r="B334" t="s">
        <v>11</v>
      </c>
      <c r="C334" t="s">
        <v>11</v>
      </c>
      <c r="D334" t="s">
        <v>56</v>
      </c>
      <c r="E334" t="s">
        <v>56</v>
      </c>
      <c r="F334" t="s">
        <v>72</v>
      </c>
      <c r="G334" t="s">
        <v>72</v>
      </c>
      <c r="H334" t="s">
        <v>921</v>
      </c>
      <c r="I334" t="s">
        <v>1211</v>
      </c>
      <c r="J334" s="3" t="s">
        <v>166</v>
      </c>
      <c r="K334" s="3"/>
      <c r="L334" s="3" t="s">
        <v>1212</v>
      </c>
      <c r="M334" s="3">
        <v>46055</v>
      </c>
      <c r="N334" s="4">
        <v>950004</v>
      </c>
      <c r="O334" s="3" t="s">
        <v>965</v>
      </c>
      <c r="P334" s="3">
        <v>79135.333199999994</v>
      </c>
      <c r="Q334" s="4">
        <v>79135.333199999994</v>
      </c>
      <c r="R334" s="3" t="s">
        <v>1096</v>
      </c>
      <c r="S334" s="3" t="s">
        <v>4</v>
      </c>
      <c r="T334" s="3" t="s">
        <v>4</v>
      </c>
      <c r="U334" s="3"/>
    </row>
    <row r="335" spans="1:21">
      <c r="A335">
        <v>3550</v>
      </c>
      <c r="B335" t="s">
        <v>11</v>
      </c>
      <c r="C335" t="s">
        <v>11</v>
      </c>
      <c r="D335" t="s">
        <v>56</v>
      </c>
      <c r="E335" t="s">
        <v>56</v>
      </c>
      <c r="F335" t="s">
        <v>72</v>
      </c>
      <c r="G335" t="s">
        <v>72</v>
      </c>
      <c r="H335" t="s">
        <v>921</v>
      </c>
      <c r="I335" t="s">
        <v>1213</v>
      </c>
      <c r="J335" s="3" t="s">
        <v>981</v>
      </c>
      <c r="K335" s="3"/>
      <c r="L335" s="3" t="s">
        <v>1214</v>
      </c>
      <c r="M335" s="3">
        <v>46276</v>
      </c>
      <c r="N335" s="4">
        <v>740004</v>
      </c>
      <c r="O335" s="3" t="s">
        <v>1023</v>
      </c>
      <c r="P335" s="3">
        <v>51800.28</v>
      </c>
      <c r="Q335" s="4">
        <v>51800.28</v>
      </c>
      <c r="R335" s="3" t="s">
        <v>153</v>
      </c>
      <c r="S335" s="3" t="s">
        <v>19</v>
      </c>
      <c r="T335" s="3" t="s">
        <v>19</v>
      </c>
      <c r="U335" s="3"/>
    </row>
    <row r="336" spans="1:21">
      <c r="A336">
        <v>3475</v>
      </c>
      <c r="B336" t="s">
        <v>11</v>
      </c>
      <c r="C336" t="s">
        <v>11</v>
      </c>
      <c r="D336" t="s">
        <v>56</v>
      </c>
      <c r="E336" t="s">
        <v>56</v>
      </c>
      <c r="F336" t="s">
        <v>72</v>
      </c>
      <c r="G336" t="s">
        <v>72</v>
      </c>
      <c r="H336" t="s">
        <v>921</v>
      </c>
      <c r="I336" t="s">
        <v>1215</v>
      </c>
      <c r="J336" s="3" t="s">
        <v>981</v>
      </c>
      <c r="K336" s="3"/>
      <c r="L336" s="3" t="s">
        <v>1216</v>
      </c>
      <c r="M336" s="3">
        <v>46248</v>
      </c>
      <c r="N336" s="4">
        <v>1000008</v>
      </c>
      <c r="O336" s="3" t="s">
        <v>983</v>
      </c>
      <c r="P336" s="3">
        <v>70000.56</v>
      </c>
      <c r="Q336" s="4">
        <v>70000.56</v>
      </c>
      <c r="R336" s="3" t="s">
        <v>644</v>
      </c>
      <c r="S336" s="3" t="s">
        <v>4</v>
      </c>
      <c r="T336" s="3" t="s">
        <v>4</v>
      </c>
      <c r="U336" s="3"/>
    </row>
    <row r="337" spans="1:21">
      <c r="A337">
        <v>3171</v>
      </c>
      <c r="B337" t="s">
        <v>11</v>
      </c>
      <c r="C337" t="s">
        <v>11</v>
      </c>
      <c r="D337" t="s">
        <v>56</v>
      </c>
      <c r="E337" t="s">
        <v>56</v>
      </c>
      <c r="F337" t="s">
        <v>72</v>
      </c>
      <c r="G337" t="s">
        <v>72</v>
      </c>
      <c r="H337" t="s">
        <v>921</v>
      </c>
      <c r="I337" t="s">
        <v>1217</v>
      </c>
      <c r="J337" s="3" t="s">
        <v>1064</v>
      </c>
      <c r="K337" s="3"/>
      <c r="L337" s="3" t="s">
        <v>1218</v>
      </c>
      <c r="M337" s="3">
        <v>46113</v>
      </c>
      <c r="N337" s="4">
        <v>516000</v>
      </c>
      <c r="O337" s="3" t="s">
        <v>1071</v>
      </c>
      <c r="P337" s="3">
        <v>36120</v>
      </c>
      <c r="Q337" s="4">
        <v>36120</v>
      </c>
      <c r="R337" s="3" t="s">
        <v>768</v>
      </c>
      <c r="S337" s="3" t="s">
        <v>4</v>
      </c>
      <c r="T337" s="3" t="s">
        <v>4</v>
      </c>
      <c r="U337" s="3"/>
    </row>
    <row r="338" spans="1:21">
      <c r="A338">
        <v>3470</v>
      </c>
      <c r="B338" t="s">
        <v>11</v>
      </c>
      <c r="C338" t="s">
        <v>11</v>
      </c>
      <c r="D338" t="s">
        <v>56</v>
      </c>
      <c r="E338" t="s">
        <v>56</v>
      </c>
      <c r="F338" t="s">
        <v>72</v>
      </c>
      <c r="G338" t="s">
        <v>72</v>
      </c>
      <c r="H338" t="s">
        <v>921</v>
      </c>
      <c r="I338" t="s">
        <v>1219</v>
      </c>
      <c r="J338" s="3" t="s">
        <v>981</v>
      </c>
      <c r="K338" s="3"/>
      <c r="L338" s="3" t="s">
        <v>1216</v>
      </c>
      <c r="M338" s="3">
        <v>46244</v>
      </c>
      <c r="N338" s="4">
        <v>755004</v>
      </c>
      <c r="O338" s="3" t="s">
        <v>983</v>
      </c>
      <c r="P338" s="3">
        <v>52850.28</v>
      </c>
      <c r="Q338" s="4">
        <v>52850.28</v>
      </c>
      <c r="R338" s="3" t="s">
        <v>644</v>
      </c>
      <c r="S338" s="3" t="s">
        <v>4</v>
      </c>
      <c r="T338" s="3" t="s">
        <v>4</v>
      </c>
      <c r="U338" s="3"/>
    </row>
    <row r="339" spans="1:21">
      <c r="A339">
        <v>3512</v>
      </c>
      <c r="B339" t="s">
        <v>11</v>
      </c>
      <c r="C339" t="s">
        <v>11</v>
      </c>
      <c r="D339" t="s">
        <v>56</v>
      </c>
      <c r="E339" t="s">
        <v>56</v>
      </c>
      <c r="F339" t="s">
        <v>72</v>
      </c>
      <c r="G339" t="s">
        <v>72</v>
      </c>
      <c r="H339" t="s">
        <v>921</v>
      </c>
      <c r="I339" t="s">
        <v>1220</v>
      </c>
      <c r="J339" s="3" t="s">
        <v>1221</v>
      </c>
      <c r="K339" s="3"/>
      <c r="L339" s="3" t="s">
        <v>1222</v>
      </c>
      <c r="M339" s="3">
        <v>46266</v>
      </c>
      <c r="N339" s="4">
        <v>650004</v>
      </c>
      <c r="O339" s="3" t="s">
        <v>1023</v>
      </c>
      <c r="P339" s="3">
        <v>45500.28</v>
      </c>
      <c r="Q339" s="4">
        <v>45500.28</v>
      </c>
      <c r="R339" s="3" t="s">
        <v>153</v>
      </c>
      <c r="S339" s="3" t="s">
        <v>19</v>
      </c>
      <c r="T339" s="3" t="s">
        <v>19</v>
      </c>
      <c r="U339" s="3"/>
    </row>
    <row r="340" spans="1:21">
      <c r="A340">
        <v>3474</v>
      </c>
      <c r="B340" t="s">
        <v>11</v>
      </c>
      <c r="C340" t="s">
        <v>11</v>
      </c>
      <c r="D340" t="s">
        <v>56</v>
      </c>
      <c r="E340" t="s">
        <v>56</v>
      </c>
      <c r="F340" t="s">
        <v>72</v>
      </c>
      <c r="G340" t="s">
        <v>72</v>
      </c>
      <c r="H340" t="s">
        <v>921</v>
      </c>
      <c r="I340" t="s">
        <v>1223</v>
      </c>
      <c r="J340" s="3" t="s">
        <v>981</v>
      </c>
      <c r="K340" s="3"/>
      <c r="L340" s="3" t="s">
        <v>1224</v>
      </c>
      <c r="M340" s="3">
        <v>46247</v>
      </c>
      <c r="N340" s="4">
        <v>562008</v>
      </c>
      <c r="O340" s="3" t="s">
        <v>983</v>
      </c>
      <c r="P340" s="3">
        <v>39340.559999999998</v>
      </c>
      <c r="Q340" s="4">
        <v>39340.559999999998</v>
      </c>
      <c r="R340" s="3" t="s">
        <v>644</v>
      </c>
      <c r="S340" s="3" t="s">
        <v>4</v>
      </c>
      <c r="T340" s="3" t="s">
        <v>4</v>
      </c>
      <c r="U340" s="3"/>
    </row>
    <row r="341" spans="1:21">
      <c r="A341">
        <v>3459</v>
      </c>
      <c r="B341" t="s">
        <v>11</v>
      </c>
      <c r="C341" t="s">
        <v>11</v>
      </c>
      <c r="D341" t="s">
        <v>56</v>
      </c>
      <c r="E341" t="s">
        <v>56</v>
      </c>
      <c r="F341" t="s">
        <v>72</v>
      </c>
      <c r="G341" t="s">
        <v>72</v>
      </c>
      <c r="H341" t="s">
        <v>921</v>
      </c>
      <c r="I341" t="s">
        <v>1225</v>
      </c>
      <c r="J341" s="3" t="s">
        <v>1226</v>
      </c>
      <c r="K341" s="3"/>
      <c r="L341" s="3" t="s">
        <v>1227</v>
      </c>
      <c r="M341" s="3">
        <v>46238</v>
      </c>
      <c r="N341" s="4">
        <v>470004</v>
      </c>
      <c r="O341" s="3" t="s">
        <v>983</v>
      </c>
      <c r="P341" s="3">
        <v>25000</v>
      </c>
      <c r="Q341" s="4">
        <v>25000</v>
      </c>
      <c r="R341" s="3" t="s">
        <v>644</v>
      </c>
      <c r="S341" s="3" t="s">
        <v>4</v>
      </c>
      <c r="T341" s="3" t="s">
        <v>4</v>
      </c>
      <c r="U341" s="3"/>
    </row>
    <row r="342" spans="1:21">
      <c r="A342">
        <v>3072</v>
      </c>
      <c r="B342" t="s">
        <v>11</v>
      </c>
      <c r="C342" t="s">
        <v>11</v>
      </c>
      <c r="D342" t="s">
        <v>56</v>
      </c>
      <c r="E342" t="s">
        <v>56</v>
      </c>
      <c r="F342" t="s">
        <v>72</v>
      </c>
      <c r="G342" t="s">
        <v>72</v>
      </c>
      <c r="H342" t="s">
        <v>906</v>
      </c>
      <c r="I342" t="s">
        <v>1228</v>
      </c>
      <c r="J342" s="3" t="s">
        <v>1229</v>
      </c>
      <c r="K342" s="3"/>
      <c r="L342" s="3" t="s">
        <v>1230</v>
      </c>
      <c r="M342" s="3">
        <v>46062</v>
      </c>
      <c r="N342" s="4">
        <v>720000</v>
      </c>
      <c r="O342" s="3" t="s">
        <v>1231</v>
      </c>
      <c r="P342" s="3">
        <v>59976</v>
      </c>
      <c r="Q342" s="4">
        <v>59976</v>
      </c>
      <c r="R342" s="3" t="s">
        <v>1096</v>
      </c>
      <c r="S342" s="3" t="s">
        <v>517</v>
      </c>
      <c r="T342" s="3" t="s">
        <v>22</v>
      </c>
      <c r="U342" s="3"/>
    </row>
    <row r="343" spans="1:21">
      <c r="A343">
        <v>3547</v>
      </c>
      <c r="B343" t="s">
        <v>11</v>
      </c>
      <c r="C343" t="s">
        <v>11</v>
      </c>
      <c r="D343" t="s">
        <v>56</v>
      </c>
      <c r="E343" t="s">
        <v>56</v>
      </c>
      <c r="F343" t="s">
        <v>72</v>
      </c>
      <c r="G343" t="s">
        <v>72</v>
      </c>
      <c r="H343" t="s">
        <v>906</v>
      </c>
      <c r="I343" t="s">
        <v>1232</v>
      </c>
      <c r="J343" s="3" t="s">
        <v>1229</v>
      </c>
      <c r="K343" s="3"/>
      <c r="L343" s="3" t="s">
        <v>916</v>
      </c>
      <c r="M343" s="3">
        <v>46273</v>
      </c>
      <c r="N343" s="4">
        <v>780000</v>
      </c>
      <c r="O343" s="3" t="s">
        <v>1023</v>
      </c>
      <c r="P343" s="3">
        <v>54600</v>
      </c>
      <c r="Q343" s="4">
        <v>54600</v>
      </c>
      <c r="R343" s="3" t="s">
        <v>153</v>
      </c>
      <c r="S343" s="3" t="s">
        <v>19</v>
      </c>
      <c r="T343" s="3" t="s">
        <v>19</v>
      </c>
      <c r="U343" s="3"/>
    </row>
    <row r="344" spans="1:21">
      <c r="A344">
        <v>3347</v>
      </c>
      <c r="B344" t="s">
        <v>11</v>
      </c>
      <c r="C344" t="s">
        <v>11</v>
      </c>
      <c r="D344" t="s">
        <v>56</v>
      </c>
      <c r="E344" t="s">
        <v>56</v>
      </c>
      <c r="F344" t="s">
        <v>72</v>
      </c>
      <c r="G344" t="s">
        <v>72</v>
      </c>
      <c r="H344" t="s">
        <v>962</v>
      </c>
      <c r="I344" t="s">
        <v>1233</v>
      </c>
      <c r="J344" s="3" t="s">
        <v>1016</v>
      </c>
      <c r="K344" s="3"/>
      <c r="L344" s="3" t="s">
        <v>1234</v>
      </c>
      <c r="M344" s="3" t="s">
        <v>1235</v>
      </c>
      <c r="N344" s="4">
        <v>1015008</v>
      </c>
      <c r="O344" s="3" t="s">
        <v>1017</v>
      </c>
      <c r="P344" s="3">
        <v>71050.559999999998</v>
      </c>
      <c r="Q344" s="4">
        <v>71050.559999999998</v>
      </c>
      <c r="R344" s="3" t="s">
        <v>529</v>
      </c>
      <c r="S344" s="3" t="s">
        <v>4</v>
      </c>
      <c r="T344" s="3" t="s">
        <v>4</v>
      </c>
      <c r="U344" s="3"/>
    </row>
    <row r="345" spans="1:21">
      <c r="A345">
        <v>3193</v>
      </c>
      <c r="B345" t="s">
        <v>11</v>
      </c>
      <c r="C345" t="s">
        <v>11</v>
      </c>
      <c r="D345" t="s">
        <v>56</v>
      </c>
      <c r="E345" t="s">
        <v>56</v>
      </c>
      <c r="F345" t="s">
        <v>72</v>
      </c>
      <c r="G345" t="s">
        <v>72</v>
      </c>
      <c r="H345" t="s">
        <v>962</v>
      </c>
      <c r="I345" t="s">
        <v>1236</v>
      </c>
      <c r="J345" s="3" t="s">
        <v>1237</v>
      </c>
      <c r="K345" s="3"/>
      <c r="L345" s="3" t="s">
        <v>1238</v>
      </c>
      <c r="M345" s="3">
        <v>46122</v>
      </c>
      <c r="N345" s="4">
        <v>650004</v>
      </c>
      <c r="O345" s="3" t="s">
        <v>1104</v>
      </c>
      <c r="P345" s="3">
        <v>45500.280000000006</v>
      </c>
      <c r="Q345" s="4">
        <v>45500.280000000006</v>
      </c>
      <c r="R345" s="3" t="s">
        <v>768</v>
      </c>
      <c r="S345" s="3" t="s">
        <v>4</v>
      </c>
      <c r="T345" s="3" t="s">
        <v>4</v>
      </c>
      <c r="U345" s="3"/>
    </row>
    <row r="346" spans="1:21">
      <c r="A346">
        <v>3074</v>
      </c>
      <c r="B346" t="s">
        <v>11</v>
      </c>
      <c r="C346" t="s">
        <v>11</v>
      </c>
      <c r="D346" t="s">
        <v>56</v>
      </c>
      <c r="E346" t="s">
        <v>56</v>
      </c>
      <c r="F346" t="s">
        <v>72</v>
      </c>
      <c r="G346" t="s">
        <v>72</v>
      </c>
      <c r="H346" t="s">
        <v>962</v>
      </c>
      <c r="I346" t="s">
        <v>1239</v>
      </c>
      <c r="J346" s="3" t="s">
        <v>1237</v>
      </c>
      <c r="K346" s="3"/>
      <c r="L346" s="3" t="s">
        <v>1240</v>
      </c>
      <c r="M346" s="3">
        <v>46062</v>
      </c>
      <c r="N346" s="4">
        <v>670008</v>
      </c>
      <c r="O346" s="3" t="s">
        <v>965</v>
      </c>
      <c r="P346" s="3">
        <v>55811.666400000002</v>
      </c>
      <c r="Q346" s="4">
        <v>55811.666400000002</v>
      </c>
      <c r="R346" s="3" t="s">
        <v>1096</v>
      </c>
      <c r="S346" s="3" t="s">
        <v>4</v>
      </c>
      <c r="T346" s="3" t="s">
        <v>4</v>
      </c>
      <c r="U346" s="3"/>
    </row>
    <row r="347" spans="1:21">
      <c r="A347">
        <v>3380</v>
      </c>
      <c r="B347" t="s">
        <v>11</v>
      </c>
      <c r="C347" t="s">
        <v>11</v>
      </c>
      <c r="D347" t="s">
        <v>56</v>
      </c>
      <c r="E347" t="s">
        <v>56</v>
      </c>
      <c r="F347" t="s">
        <v>72</v>
      </c>
      <c r="G347" t="s">
        <v>72</v>
      </c>
      <c r="H347" t="s">
        <v>962</v>
      </c>
      <c r="I347" t="s">
        <v>1241</v>
      </c>
      <c r="J347" s="3" t="s">
        <v>1016</v>
      </c>
      <c r="K347" s="3"/>
      <c r="L347" s="3" t="s">
        <v>1242</v>
      </c>
      <c r="M347" s="3">
        <v>46209</v>
      </c>
      <c r="N347" s="4" t="s">
        <v>1243</v>
      </c>
      <c r="O347" s="3" t="s">
        <v>969</v>
      </c>
      <c r="P347" s="3">
        <v>36691.199999999997</v>
      </c>
      <c r="Q347" s="4">
        <v>36691.199999999997</v>
      </c>
      <c r="R347" s="3" t="s">
        <v>876</v>
      </c>
      <c r="S347" s="3" t="s">
        <v>4</v>
      </c>
      <c r="T347" s="3" t="s">
        <v>4</v>
      </c>
      <c r="U347" s="3"/>
    </row>
    <row r="348" spans="1:21">
      <c r="A348">
        <v>3046</v>
      </c>
      <c r="B348" t="s">
        <v>11</v>
      </c>
      <c r="C348" t="s">
        <v>11</v>
      </c>
      <c r="D348" t="s">
        <v>56</v>
      </c>
      <c r="E348" t="s">
        <v>56</v>
      </c>
      <c r="F348" t="s">
        <v>72</v>
      </c>
      <c r="G348" t="s">
        <v>72</v>
      </c>
      <c r="H348" t="s">
        <v>1097</v>
      </c>
      <c r="I348" t="s">
        <v>1244</v>
      </c>
      <c r="J348" s="3" t="s">
        <v>908</v>
      </c>
      <c r="K348" s="3"/>
      <c r="L348" s="3" t="s">
        <v>750</v>
      </c>
      <c r="M348" s="3">
        <v>46050</v>
      </c>
      <c r="N348" s="4">
        <v>1199904</v>
      </c>
      <c r="O348" s="3" t="s">
        <v>1245</v>
      </c>
      <c r="P348" s="3">
        <v>99952.003199999992</v>
      </c>
      <c r="Q348" s="4">
        <v>99952.003199999992</v>
      </c>
      <c r="R348" s="3" t="s">
        <v>961</v>
      </c>
      <c r="S348" s="3" t="s">
        <v>4</v>
      </c>
      <c r="T348" s="3" t="s">
        <v>4</v>
      </c>
      <c r="U348" s="3"/>
    </row>
    <row r="349" spans="1:21" ht="27.6">
      <c r="A349">
        <v>3439</v>
      </c>
      <c r="B349" t="s">
        <v>11</v>
      </c>
      <c r="C349" t="s">
        <v>11</v>
      </c>
      <c r="D349" t="s">
        <v>56</v>
      </c>
      <c r="E349" t="s">
        <v>56</v>
      </c>
      <c r="G349" t="s">
        <v>54</v>
      </c>
      <c r="H349" t="s">
        <v>1034</v>
      </c>
      <c r="I349" t="s">
        <v>1246</v>
      </c>
      <c r="J349" s="3" t="s">
        <v>1247</v>
      </c>
      <c r="K349" s="3"/>
      <c r="L349" s="3" t="s">
        <v>1248</v>
      </c>
      <c r="M349" s="3">
        <v>46231</v>
      </c>
      <c r="N349" s="4" t="s">
        <v>1249</v>
      </c>
      <c r="O349" s="3" t="s">
        <v>944</v>
      </c>
      <c r="P349" s="3">
        <v>45500.28</v>
      </c>
      <c r="Q349" s="4">
        <v>45500.28</v>
      </c>
      <c r="R349" s="3" t="s">
        <v>341</v>
      </c>
      <c r="S349" s="3" t="s">
        <v>4</v>
      </c>
      <c r="T349" s="3" t="s">
        <v>4</v>
      </c>
      <c r="U349" s="3" t="s">
        <v>846</v>
      </c>
    </row>
    <row r="350" spans="1:21">
      <c r="A350">
        <v>3267</v>
      </c>
      <c r="B350" t="s">
        <v>11</v>
      </c>
      <c r="C350" t="s">
        <v>11</v>
      </c>
      <c r="D350" t="s">
        <v>63</v>
      </c>
      <c r="E350" t="s">
        <v>63</v>
      </c>
      <c r="F350" t="s">
        <v>68</v>
      </c>
      <c r="G350" t="s">
        <v>68</v>
      </c>
      <c r="H350" t="s">
        <v>921</v>
      </c>
      <c r="I350" t="s">
        <v>531</v>
      </c>
      <c r="J350" s="3" t="s">
        <v>1203</v>
      </c>
      <c r="K350" s="3"/>
      <c r="L350" s="3" t="s">
        <v>1186</v>
      </c>
      <c r="M350" s="3">
        <v>46153</v>
      </c>
      <c r="N350" s="4">
        <v>1300000</v>
      </c>
      <c r="O350" s="3" t="s">
        <v>1006</v>
      </c>
      <c r="P350" s="3">
        <v>91000</v>
      </c>
      <c r="Q350" s="4">
        <v>91000</v>
      </c>
      <c r="R350" s="3" t="s">
        <v>956</v>
      </c>
      <c r="S350" s="3" t="s">
        <v>4</v>
      </c>
      <c r="T350" s="3" t="s">
        <v>4</v>
      </c>
      <c r="U350" s="3"/>
    </row>
    <row r="351" spans="1:21">
      <c r="A351">
        <v>3051</v>
      </c>
      <c r="B351" t="s">
        <v>11</v>
      </c>
      <c r="C351" t="s">
        <v>11</v>
      </c>
      <c r="D351" t="s">
        <v>69</v>
      </c>
      <c r="E351" t="s">
        <v>69</v>
      </c>
      <c r="F351" t="s">
        <v>61</v>
      </c>
      <c r="G351" t="s">
        <v>61</v>
      </c>
      <c r="H351" t="s">
        <v>921</v>
      </c>
      <c r="I351" t="s">
        <v>1250</v>
      </c>
      <c r="J351" s="3" t="s">
        <v>985</v>
      </c>
      <c r="K351" s="3"/>
      <c r="L351" s="3" t="s">
        <v>1251</v>
      </c>
      <c r="M351" s="3">
        <v>46052</v>
      </c>
      <c r="N351" s="4">
        <v>450000</v>
      </c>
      <c r="O351" s="3" t="s">
        <v>1119</v>
      </c>
      <c r="P351" s="3">
        <v>37485</v>
      </c>
      <c r="Q351" s="4">
        <v>37485</v>
      </c>
      <c r="R351" s="3" t="s">
        <v>1096</v>
      </c>
      <c r="S351" s="3" t="s">
        <v>4</v>
      </c>
      <c r="T351" s="3" t="s">
        <v>4</v>
      </c>
      <c r="U351" s="3"/>
    </row>
    <row r="352" spans="1:21">
      <c r="A352">
        <v>3159</v>
      </c>
      <c r="B352" t="s">
        <v>11</v>
      </c>
      <c r="C352" t="s">
        <v>11</v>
      </c>
      <c r="D352" t="s">
        <v>69</v>
      </c>
      <c r="E352" t="s">
        <v>69</v>
      </c>
      <c r="F352" t="s">
        <v>61</v>
      </c>
      <c r="G352" t="s">
        <v>61</v>
      </c>
      <c r="H352" t="s">
        <v>1097</v>
      </c>
      <c r="I352" t="s">
        <v>1252</v>
      </c>
      <c r="J352" s="3" t="s">
        <v>990</v>
      </c>
      <c r="K352" s="3"/>
      <c r="L352" s="3" t="s">
        <v>602</v>
      </c>
      <c r="M352" s="3">
        <v>46101</v>
      </c>
      <c r="N352" s="4">
        <v>900000</v>
      </c>
      <c r="O352" s="3" t="s">
        <v>996</v>
      </c>
      <c r="P352" s="3">
        <v>74970</v>
      </c>
      <c r="Q352" s="4">
        <v>74970</v>
      </c>
      <c r="R352" s="3" t="s">
        <v>997</v>
      </c>
      <c r="S352" s="3" t="s">
        <v>4</v>
      </c>
      <c r="T352" s="3" t="s">
        <v>4</v>
      </c>
      <c r="U352" s="3"/>
    </row>
    <row r="353" spans="1:21">
      <c r="A353">
        <v>3053</v>
      </c>
      <c r="B353" t="s">
        <v>11</v>
      </c>
      <c r="C353" t="s">
        <v>11</v>
      </c>
      <c r="D353" t="s">
        <v>70</v>
      </c>
      <c r="E353" t="s">
        <v>70</v>
      </c>
      <c r="F353" t="s">
        <v>73</v>
      </c>
      <c r="G353" t="s">
        <v>73</v>
      </c>
      <c r="H353" t="s">
        <v>962</v>
      </c>
      <c r="I353" t="s">
        <v>1253</v>
      </c>
      <c r="J353" s="3" t="s">
        <v>1016</v>
      </c>
      <c r="K353" s="3"/>
      <c r="L353" s="3" t="s">
        <v>1194</v>
      </c>
      <c r="M353" s="3">
        <v>46058</v>
      </c>
      <c r="N353" s="4">
        <v>450000</v>
      </c>
      <c r="O353" s="3" t="s">
        <v>965</v>
      </c>
      <c r="P353" s="3">
        <v>37485</v>
      </c>
      <c r="Q353" s="4">
        <v>37485</v>
      </c>
      <c r="R353" s="3" t="s">
        <v>1096</v>
      </c>
      <c r="S353" s="3" t="s">
        <v>4</v>
      </c>
      <c r="T353" s="3" t="s">
        <v>4</v>
      </c>
      <c r="U353" s="3"/>
    </row>
    <row r="354" spans="1:21">
      <c r="A354">
        <v>3040</v>
      </c>
      <c r="B354" t="s">
        <v>11</v>
      </c>
      <c r="C354" t="s">
        <v>11</v>
      </c>
      <c r="D354" t="s">
        <v>70</v>
      </c>
      <c r="E354" t="s">
        <v>70</v>
      </c>
      <c r="F354" t="s">
        <v>74</v>
      </c>
      <c r="G354" t="s">
        <v>74</v>
      </c>
      <c r="H354" t="s">
        <v>962</v>
      </c>
      <c r="I354" t="s">
        <v>1254</v>
      </c>
      <c r="J354" s="3" t="s">
        <v>1016</v>
      </c>
      <c r="K354" s="3"/>
      <c r="L354" s="3" t="s">
        <v>1255</v>
      </c>
      <c r="M354" s="3">
        <v>46043</v>
      </c>
      <c r="N354" s="4">
        <v>864000</v>
      </c>
      <c r="O354" s="3" t="s">
        <v>1020</v>
      </c>
      <c r="P354" s="3">
        <v>71971.199999999997</v>
      </c>
      <c r="Q354" s="4">
        <v>71971.199999999997</v>
      </c>
      <c r="R354" s="3" t="s">
        <v>961</v>
      </c>
      <c r="S354" s="3" t="s">
        <v>4</v>
      </c>
      <c r="T354" s="3" t="s">
        <v>4</v>
      </c>
      <c r="U354" s="3"/>
    </row>
    <row r="355" spans="1:21">
      <c r="A355">
        <v>3073</v>
      </c>
      <c r="B355" t="s">
        <v>11</v>
      </c>
      <c r="C355" t="s">
        <v>11</v>
      </c>
      <c r="D355" t="s">
        <v>70</v>
      </c>
      <c r="E355" t="s">
        <v>70</v>
      </c>
      <c r="F355" t="s">
        <v>72</v>
      </c>
      <c r="G355" t="s">
        <v>72</v>
      </c>
      <c r="H355" t="s">
        <v>962</v>
      </c>
      <c r="I355" t="s">
        <v>1256</v>
      </c>
      <c r="J355" s="3" t="s">
        <v>1212</v>
      </c>
      <c r="K355" s="3"/>
      <c r="L355" s="3" t="s">
        <v>1257</v>
      </c>
      <c r="M355" s="3">
        <v>46062</v>
      </c>
      <c r="N355" s="4">
        <v>950004</v>
      </c>
      <c r="O355" s="3" t="s">
        <v>965</v>
      </c>
      <c r="P355" s="3">
        <v>79135.333199999994</v>
      </c>
      <c r="Q355" s="4">
        <v>79135.333199999994</v>
      </c>
      <c r="R355" s="3" t="s">
        <v>1096</v>
      </c>
      <c r="S355" s="3" t="s">
        <v>4</v>
      </c>
      <c r="T355" s="3" t="s">
        <v>4</v>
      </c>
      <c r="U355" s="3"/>
    </row>
    <row r="356" spans="1:21">
      <c r="A356">
        <v>3520</v>
      </c>
      <c r="B356" t="s">
        <v>12</v>
      </c>
      <c r="C356" t="s">
        <v>12</v>
      </c>
      <c r="D356" t="s">
        <v>75</v>
      </c>
      <c r="E356" t="s">
        <v>75</v>
      </c>
      <c r="F356" t="s">
        <v>76</v>
      </c>
      <c r="G356" t="s">
        <v>76</v>
      </c>
      <c r="H356" t="s">
        <v>1258</v>
      </c>
      <c r="I356" t="s">
        <v>1259</v>
      </c>
      <c r="J356" s="3" t="s">
        <v>1260</v>
      </c>
      <c r="K356" s="3"/>
      <c r="L356" s="3" t="s">
        <v>750</v>
      </c>
      <c r="M356" s="3">
        <v>46267</v>
      </c>
      <c r="N356" s="4">
        <v>2200000</v>
      </c>
      <c r="O356" s="3"/>
      <c r="P356" s="3">
        <v>170000</v>
      </c>
      <c r="Q356" s="4">
        <v>170000</v>
      </c>
      <c r="R356" s="3"/>
      <c r="S356" s="3" t="s">
        <v>20</v>
      </c>
      <c r="T356" s="3" t="s">
        <v>20</v>
      </c>
      <c r="U356" s="3"/>
    </row>
    <row r="357" spans="1:21">
      <c r="A357">
        <v>3093</v>
      </c>
      <c r="B357" t="s">
        <v>12</v>
      </c>
      <c r="C357" t="s">
        <v>12</v>
      </c>
      <c r="D357" t="s">
        <v>75</v>
      </c>
      <c r="E357" t="s">
        <v>75</v>
      </c>
      <c r="F357" t="s">
        <v>76</v>
      </c>
      <c r="G357" t="s">
        <v>76</v>
      </c>
      <c r="H357" t="s">
        <v>1261</v>
      </c>
      <c r="I357" t="s">
        <v>1262</v>
      </c>
      <c r="J357" s="3" t="s">
        <v>1263</v>
      </c>
      <c r="K357" s="3"/>
      <c r="L357" s="3" t="s">
        <v>1264</v>
      </c>
      <c r="M357" s="3">
        <v>46078</v>
      </c>
      <c r="N357" s="4">
        <v>1150000</v>
      </c>
      <c r="O357" s="3" t="s">
        <v>1265</v>
      </c>
      <c r="P357" s="3">
        <v>95795</v>
      </c>
      <c r="Q357" s="4">
        <v>95795</v>
      </c>
      <c r="R357" s="3" t="s">
        <v>891</v>
      </c>
      <c r="S357" s="3" t="s">
        <v>4</v>
      </c>
      <c r="T357" s="3" t="s">
        <v>4</v>
      </c>
      <c r="U357" s="3"/>
    </row>
    <row r="358" spans="1:21">
      <c r="A358">
        <v>3452</v>
      </c>
      <c r="B358" t="s">
        <v>12</v>
      </c>
      <c r="C358" t="s">
        <v>12</v>
      </c>
      <c r="D358" t="s">
        <v>75</v>
      </c>
      <c r="E358" t="s">
        <v>75</v>
      </c>
      <c r="F358" t="s">
        <v>77</v>
      </c>
      <c r="G358" t="s">
        <v>77</v>
      </c>
      <c r="H358" t="s">
        <v>1258</v>
      </c>
      <c r="I358" t="s">
        <v>1266</v>
      </c>
      <c r="J358" s="3" t="s">
        <v>1260</v>
      </c>
      <c r="K358" s="3"/>
      <c r="L358" s="3" t="s">
        <v>1051</v>
      </c>
      <c r="M358" s="3">
        <v>46239</v>
      </c>
      <c r="N358" s="4">
        <v>1719000</v>
      </c>
      <c r="O358" s="3" t="s">
        <v>1267</v>
      </c>
      <c r="P358" s="3">
        <v>143193</v>
      </c>
      <c r="Q358" s="4">
        <v>143193</v>
      </c>
      <c r="R358" s="3" t="s">
        <v>1268</v>
      </c>
      <c r="S358" s="3" t="s">
        <v>19</v>
      </c>
      <c r="T358" s="3" t="s">
        <v>19</v>
      </c>
      <c r="U358" s="3"/>
    </row>
    <row r="359" spans="1:21">
      <c r="A359">
        <v>3204</v>
      </c>
      <c r="B359" t="s">
        <v>12</v>
      </c>
      <c r="C359" t="s">
        <v>12</v>
      </c>
      <c r="D359" t="s">
        <v>75</v>
      </c>
      <c r="E359" t="s">
        <v>75</v>
      </c>
      <c r="F359" t="s">
        <v>77</v>
      </c>
      <c r="G359" t="s">
        <v>77</v>
      </c>
      <c r="H359" t="s">
        <v>1258</v>
      </c>
      <c r="I359" t="s">
        <v>1269</v>
      </c>
      <c r="J359" s="3" t="s">
        <v>1270</v>
      </c>
      <c r="K359" s="3"/>
      <c r="L359" s="3" t="s">
        <v>1271</v>
      </c>
      <c r="M359" s="3">
        <v>46127</v>
      </c>
      <c r="N359" s="4">
        <v>1146000</v>
      </c>
      <c r="O359" s="3" t="s">
        <v>1272</v>
      </c>
      <c r="P359" s="3">
        <v>95462</v>
      </c>
      <c r="Q359" s="4">
        <v>95462</v>
      </c>
      <c r="R359" s="3" t="s">
        <v>1273</v>
      </c>
      <c r="S359" s="3" t="s">
        <v>4</v>
      </c>
      <c r="T359" s="3" t="s">
        <v>4</v>
      </c>
      <c r="U359" s="3"/>
    </row>
    <row r="360" spans="1:21">
      <c r="A360">
        <v>3359</v>
      </c>
      <c r="B360" t="s">
        <v>12</v>
      </c>
      <c r="C360" t="s">
        <v>12</v>
      </c>
      <c r="D360" t="s">
        <v>75</v>
      </c>
      <c r="E360" t="s">
        <v>75</v>
      </c>
      <c r="F360" t="s">
        <v>77</v>
      </c>
      <c r="G360" t="s">
        <v>77</v>
      </c>
      <c r="H360" t="s">
        <v>1258</v>
      </c>
      <c r="I360" t="s">
        <v>1274</v>
      </c>
      <c r="J360" s="3" t="s">
        <v>1270</v>
      </c>
      <c r="K360" s="3"/>
      <c r="L360" s="3" t="s">
        <v>716</v>
      </c>
      <c r="M360" s="3">
        <v>46190</v>
      </c>
      <c r="N360" s="4">
        <v>1098250</v>
      </c>
      <c r="O360" s="3" t="s">
        <v>1275</v>
      </c>
      <c r="P360" s="3">
        <v>91484.22</v>
      </c>
      <c r="Q360" s="4">
        <v>91484.22</v>
      </c>
      <c r="R360" s="3" t="s">
        <v>577</v>
      </c>
      <c r="S360" s="3" t="s">
        <v>19</v>
      </c>
      <c r="T360" s="3" t="s">
        <v>19</v>
      </c>
      <c r="U360" s="3"/>
    </row>
    <row r="361" spans="1:21">
      <c r="A361">
        <v>3265</v>
      </c>
      <c r="B361" t="s">
        <v>12</v>
      </c>
      <c r="C361" t="s">
        <v>12</v>
      </c>
      <c r="D361" t="s">
        <v>75</v>
      </c>
      <c r="E361" t="s">
        <v>75</v>
      </c>
      <c r="F361" t="s">
        <v>77</v>
      </c>
      <c r="G361" t="s">
        <v>77</v>
      </c>
      <c r="H361" t="s">
        <v>1258</v>
      </c>
      <c r="I361" t="s">
        <v>1276</v>
      </c>
      <c r="J361" s="3" t="s">
        <v>1277</v>
      </c>
      <c r="K361" s="3"/>
      <c r="L361" s="3" t="s">
        <v>482</v>
      </c>
      <c r="M361" s="3">
        <v>46148</v>
      </c>
      <c r="N361" s="4">
        <v>1500000</v>
      </c>
      <c r="O361" s="3" t="s">
        <v>1278</v>
      </c>
      <c r="P361" s="3">
        <v>181450</v>
      </c>
      <c r="Q361" s="4">
        <v>181450</v>
      </c>
      <c r="R361" s="3" t="s">
        <v>1279</v>
      </c>
      <c r="S361" s="3" t="s">
        <v>19</v>
      </c>
      <c r="T361" s="3" t="s">
        <v>19</v>
      </c>
      <c r="U361" s="3"/>
    </row>
    <row r="362" spans="1:21">
      <c r="A362">
        <v>3384</v>
      </c>
      <c r="B362" t="s">
        <v>12</v>
      </c>
      <c r="C362" t="s">
        <v>12</v>
      </c>
      <c r="D362" t="s">
        <v>75</v>
      </c>
      <c r="E362" t="s">
        <v>75</v>
      </c>
      <c r="F362" t="s">
        <v>77</v>
      </c>
      <c r="G362" t="s">
        <v>77</v>
      </c>
      <c r="H362" t="s">
        <v>1258</v>
      </c>
      <c r="I362" t="s">
        <v>1280</v>
      </c>
      <c r="J362" s="3" t="s">
        <v>1260</v>
      </c>
      <c r="K362" s="3"/>
      <c r="L362" s="3" t="s">
        <v>1281</v>
      </c>
      <c r="M362" s="3">
        <v>46204</v>
      </c>
      <c r="N362" s="4">
        <v>1200000</v>
      </c>
      <c r="O362" s="3" t="s">
        <v>1282</v>
      </c>
      <c r="P362" s="3">
        <v>95461.8</v>
      </c>
      <c r="Q362" s="4">
        <v>95461.8</v>
      </c>
      <c r="R362" s="3" t="s">
        <v>509</v>
      </c>
      <c r="S362" s="3" t="s">
        <v>19</v>
      </c>
      <c r="T362" s="3" t="s">
        <v>19</v>
      </c>
      <c r="U362" s="3"/>
    </row>
    <row r="363" spans="1:21">
      <c r="A363">
        <v>3199</v>
      </c>
      <c r="B363" t="s">
        <v>12</v>
      </c>
      <c r="C363" t="s">
        <v>12</v>
      </c>
      <c r="D363" t="s">
        <v>75</v>
      </c>
      <c r="E363" t="s">
        <v>75</v>
      </c>
      <c r="F363" t="s">
        <v>78</v>
      </c>
      <c r="G363" t="s">
        <v>78</v>
      </c>
      <c r="H363" t="s">
        <v>1283</v>
      </c>
      <c r="I363" t="s">
        <v>1284</v>
      </c>
      <c r="J363" s="3" t="s">
        <v>1285</v>
      </c>
      <c r="K363" s="3"/>
      <c r="L363" s="3" t="s">
        <v>1286</v>
      </c>
      <c r="M363" s="3">
        <v>46125</v>
      </c>
      <c r="N363" s="4">
        <v>1500000</v>
      </c>
      <c r="O363" s="3" t="s">
        <v>1287</v>
      </c>
      <c r="P363" s="3">
        <v>124950</v>
      </c>
      <c r="Q363" s="4">
        <v>124950</v>
      </c>
      <c r="R363" s="3" t="s">
        <v>1288</v>
      </c>
      <c r="S363" s="3" t="s">
        <v>4</v>
      </c>
      <c r="T363" s="3" t="s">
        <v>4</v>
      </c>
      <c r="U363" s="3"/>
    </row>
    <row r="364" spans="1:21">
      <c r="A364">
        <v>3020</v>
      </c>
      <c r="B364" t="s">
        <v>12</v>
      </c>
      <c r="C364" t="s">
        <v>12</v>
      </c>
      <c r="D364" t="s">
        <v>75</v>
      </c>
      <c r="E364" t="s">
        <v>75</v>
      </c>
      <c r="F364" t="s">
        <v>78</v>
      </c>
      <c r="G364" t="s">
        <v>78</v>
      </c>
      <c r="H364" t="s">
        <v>1289</v>
      </c>
      <c r="I364" t="s">
        <v>1290</v>
      </c>
      <c r="J364" s="3" t="s">
        <v>1291</v>
      </c>
      <c r="K364" s="3"/>
      <c r="L364" s="3" t="s">
        <v>166</v>
      </c>
      <c r="M364" s="3">
        <v>46034</v>
      </c>
      <c r="N364" s="4">
        <v>2788281</v>
      </c>
      <c r="O364" s="3" t="s">
        <v>1292</v>
      </c>
      <c r="P364" s="3">
        <v>278828.10000000003</v>
      </c>
      <c r="Q364" s="4">
        <v>278828.10000000003</v>
      </c>
      <c r="R364" s="3" t="s">
        <v>1293</v>
      </c>
      <c r="S364" s="3" t="s">
        <v>4</v>
      </c>
      <c r="T364" s="3" t="s">
        <v>4</v>
      </c>
      <c r="U364" s="3"/>
    </row>
    <row r="365" spans="1:21">
      <c r="A365">
        <v>3491</v>
      </c>
      <c r="B365" t="s">
        <v>12</v>
      </c>
      <c r="C365" t="s">
        <v>12</v>
      </c>
      <c r="D365" t="s">
        <v>75</v>
      </c>
      <c r="E365" t="s">
        <v>75</v>
      </c>
      <c r="F365" t="s">
        <v>78</v>
      </c>
      <c r="G365" t="s">
        <v>78</v>
      </c>
      <c r="H365" t="s">
        <v>921</v>
      </c>
      <c r="I365" t="s">
        <v>1294</v>
      </c>
      <c r="J365" s="3" t="s">
        <v>1295</v>
      </c>
      <c r="K365" s="3"/>
      <c r="L365" s="3" t="s">
        <v>12</v>
      </c>
      <c r="M365" s="3">
        <v>46254</v>
      </c>
      <c r="N365" s="4">
        <v>8000000</v>
      </c>
      <c r="O365" s="3" t="s">
        <v>1296</v>
      </c>
      <c r="P365" s="3" t="s">
        <v>1297</v>
      </c>
      <c r="Q365" s="4">
        <v>991200</v>
      </c>
      <c r="R365" s="3" t="s">
        <v>920</v>
      </c>
      <c r="S365" s="3" t="s">
        <v>19</v>
      </c>
      <c r="T365" s="3" t="s">
        <v>19</v>
      </c>
      <c r="U365" s="3"/>
    </row>
    <row r="366" spans="1:21">
      <c r="A366">
        <v>3157</v>
      </c>
      <c r="B366" t="s">
        <v>12</v>
      </c>
      <c r="C366" t="s">
        <v>12</v>
      </c>
      <c r="D366" t="s">
        <v>75</v>
      </c>
      <c r="E366" t="s">
        <v>75</v>
      </c>
      <c r="F366" t="s">
        <v>78</v>
      </c>
      <c r="G366" t="s">
        <v>78</v>
      </c>
      <c r="H366" t="s">
        <v>1261</v>
      </c>
      <c r="I366" t="s">
        <v>1298</v>
      </c>
      <c r="J366" s="3" t="s">
        <v>1299</v>
      </c>
      <c r="K366" s="3"/>
      <c r="L366" s="3" t="s">
        <v>597</v>
      </c>
      <c r="M366" s="3">
        <v>46104</v>
      </c>
      <c r="N366" s="4">
        <v>768000</v>
      </c>
      <c r="O366" s="3" t="s">
        <v>1300</v>
      </c>
      <c r="P366" s="3">
        <v>63974.400000000001</v>
      </c>
      <c r="Q366" s="4">
        <v>63974.400000000001</v>
      </c>
      <c r="R366" s="3" t="s">
        <v>307</v>
      </c>
      <c r="S366" s="3" t="s">
        <v>4</v>
      </c>
      <c r="T366" s="3" t="s">
        <v>4</v>
      </c>
      <c r="U366" s="3"/>
    </row>
    <row r="367" spans="1:21">
      <c r="A367">
        <v>3243</v>
      </c>
      <c r="B367" t="s">
        <v>12</v>
      </c>
      <c r="C367" t="s">
        <v>12</v>
      </c>
      <c r="D367" t="s">
        <v>75</v>
      </c>
      <c r="E367" t="s">
        <v>75</v>
      </c>
      <c r="F367" t="s">
        <v>78</v>
      </c>
      <c r="G367" t="s">
        <v>78</v>
      </c>
      <c r="H367" t="s">
        <v>1261</v>
      </c>
      <c r="I367" t="s">
        <v>1301</v>
      </c>
      <c r="J367" s="3" t="s">
        <v>1302</v>
      </c>
      <c r="K367" s="3"/>
      <c r="L367" s="3" t="s">
        <v>597</v>
      </c>
      <c r="M367" s="3">
        <v>46139</v>
      </c>
      <c r="N367" s="4">
        <v>620000</v>
      </c>
      <c r="O367" s="3" t="s">
        <v>1303</v>
      </c>
      <c r="P367" s="3">
        <v>51646</v>
      </c>
      <c r="Q367" s="4">
        <v>51646</v>
      </c>
      <c r="R367" s="3" t="s">
        <v>1304</v>
      </c>
      <c r="S367" s="3" t="s">
        <v>4</v>
      </c>
      <c r="T367" s="3" t="s">
        <v>4</v>
      </c>
      <c r="U367" s="3"/>
    </row>
    <row r="368" spans="1:21">
      <c r="A368">
        <v>3235</v>
      </c>
      <c r="B368" t="s">
        <v>12</v>
      </c>
      <c r="C368" t="s">
        <v>12</v>
      </c>
      <c r="D368" t="s">
        <v>75</v>
      </c>
      <c r="E368" t="s">
        <v>75</v>
      </c>
      <c r="F368" t="s">
        <v>78</v>
      </c>
      <c r="G368" t="s">
        <v>78</v>
      </c>
      <c r="H368" t="s">
        <v>1261</v>
      </c>
      <c r="I368" t="s">
        <v>1305</v>
      </c>
      <c r="J368" s="3" t="s">
        <v>1306</v>
      </c>
      <c r="K368" s="3"/>
      <c r="L368" s="3" t="s">
        <v>597</v>
      </c>
      <c r="M368" s="3">
        <v>46132</v>
      </c>
      <c r="N368" s="4">
        <v>600000</v>
      </c>
      <c r="O368" s="3" t="s">
        <v>1303</v>
      </c>
      <c r="P368" s="3">
        <v>50813</v>
      </c>
      <c r="Q368" s="4">
        <v>50813</v>
      </c>
      <c r="R368" s="3" t="s">
        <v>1304</v>
      </c>
      <c r="S368" s="3" t="s">
        <v>4</v>
      </c>
      <c r="T368" s="3" t="s">
        <v>4</v>
      </c>
      <c r="U368" s="3"/>
    </row>
    <row r="369" spans="1:21">
      <c r="A369">
        <v>3465</v>
      </c>
      <c r="B369" t="s">
        <v>12</v>
      </c>
      <c r="C369" t="s">
        <v>12</v>
      </c>
      <c r="D369" t="s">
        <v>75</v>
      </c>
      <c r="E369" t="s">
        <v>75</v>
      </c>
      <c r="F369" t="s">
        <v>78</v>
      </c>
      <c r="G369" t="s">
        <v>78</v>
      </c>
      <c r="H369" t="s">
        <v>1261</v>
      </c>
      <c r="I369" t="s">
        <v>1307</v>
      </c>
      <c r="J369" s="3" t="s">
        <v>1308</v>
      </c>
      <c r="K369" s="3"/>
      <c r="L369" s="3" t="s">
        <v>597</v>
      </c>
      <c r="M369" s="3">
        <v>46251</v>
      </c>
      <c r="N369" s="4">
        <v>850000</v>
      </c>
      <c r="O369" s="3"/>
      <c r="P369" s="3">
        <v>70000</v>
      </c>
      <c r="Q369" s="4">
        <v>70000</v>
      </c>
      <c r="R369" s="3"/>
      <c r="S369" s="3" t="s">
        <v>20</v>
      </c>
      <c r="T369" s="3" t="s">
        <v>20</v>
      </c>
      <c r="U369" s="3"/>
    </row>
    <row r="370" spans="1:21">
      <c r="A370">
        <v>3495</v>
      </c>
      <c r="B370" t="s">
        <v>12</v>
      </c>
      <c r="C370" t="s">
        <v>12</v>
      </c>
      <c r="D370" t="s">
        <v>75</v>
      </c>
      <c r="E370" t="s">
        <v>75</v>
      </c>
      <c r="F370" t="s">
        <v>78</v>
      </c>
      <c r="G370" t="s">
        <v>78</v>
      </c>
      <c r="H370" t="s">
        <v>1261</v>
      </c>
      <c r="I370" t="s">
        <v>1309</v>
      </c>
      <c r="J370" s="3" t="s">
        <v>1310</v>
      </c>
      <c r="K370" s="3"/>
      <c r="L370" s="3" t="s">
        <v>1264</v>
      </c>
      <c r="M370" s="3">
        <v>46258</v>
      </c>
      <c r="N370" s="4">
        <v>1300000</v>
      </c>
      <c r="O370" s="3"/>
      <c r="P370" s="3">
        <v>100000</v>
      </c>
      <c r="Q370" s="4">
        <v>100000</v>
      </c>
      <c r="R370" s="3"/>
      <c r="S370" s="3" t="s">
        <v>20</v>
      </c>
      <c r="T370" s="3" t="s">
        <v>20</v>
      </c>
      <c r="U370" s="3"/>
    </row>
    <row r="371" spans="1:21">
      <c r="A371">
        <v>3236</v>
      </c>
      <c r="B371" t="s">
        <v>12</v>
      </c>
      <c r="C371" t="s">
        <v>12</v>
      </c>
      <c r="D371" t="s">
        <v>75</v>
      </c>
      <c r="E371" t="s">
        <v>75</v>
      </c>
      <c r="F371" t="s">
        <v>78</v>
      </c>
      <c r="G371" t="s">
        <v>78</v>
      </c>
      <c r="H371" t="s">
        <v>1261</v>
      </c>
      <c r="I371" t="s">
        <v>1311</v>
      </c>
      <c r="J371" s="3" t="s">
        <v>1306</v>
      </c>
      <c r="K371" s="3"/>
      <c r="L371" s="3" t="s">
        <v>597</v>
      </c>
      <c r="M371" s="3">
        <v>46132</v>
      </c>
      <c r="N371" s="4">
        <v>800000</v>
      </c>
      <c r="O371" s="3" t="s">
        <v>1303</v>
      </c>
      <c r="P371" s="3">
        <v>71638</v>
      </c>
      <c r="Q371" s="4">
        <v>71638</v>
      </c>
      <c r="R371" s="3" t="s">
        <v>1304</v>
      </c>
      <c r="S371" s="3" t="s">
        <v>4</v>
      </c>
      <c r="T371" s="3" t="s">
        <v>4</v>
      </c>
      <c r="U371" s="3"/>
    </row>
    <row r="372" spans="1:21">
      <c r="A372">
        <v>3258</v>
      </c>
      <c r="B372" t="s">
        <v>12</v>
      </c>
      <c r="C372" t="s">
        <v>12</v>
      </c>
      <c r="D372" t="s">
        <v>75</v>
      </c>
      <c r="E372" t="s">
        <v>75</v>
      </c>
      <c r="F372" t="s">
        <v>78</v>
      </c>
      <c r="G372" t="s">
        <v>78</v>
      </c>
      <c r="H372" t="s">
        <v>1261</v>
      </c>
      <c r="I372" t="s">
        <v>1312</v>
      </c>
      <c r="J372" s="3" t="s">
        <v>1313</v>
      </c>
      <c r="K372" s="3"/>
      <c r="L372" s="3" t="s">
        <v>597</v>
      </c>
      <c r="M372" s="3">
        <v>46146</v>
      </c>
      <c r="N372" s="4">
        <v>780000</v>
      </c>
      <c r="O372" s="3" t="s">
        <v>1314</v>
      </c>
      <c r="P372" s="3">
        <v>64974</v>
      </c>
      <c r="Q372" s="4">
        <v>64974</v>
      </c>
      <c r="R372" s="3" t="s">
        <v>361</v>
      </c>
      <c r="S372" s="3" t="s">
        <v>19</v>
      </c>
      <c r="T372" s="3" t="s">
        <v>19</v>
      </c>
      <c r="U372" s="3"/>
    </row>
    <row r="373" spans="1:21">
      <c r="A373">
        <v>3293</v>
      </c>
      <c r="B373" t="s">
        <v>12</v>
      </c>
      <c r="C373" t="s">
        <v>12</v>
      </c>
      <c r="D373" t="s">
        <v>75</v>
      </c>
      <c r="E373" t="s">
        <v>75</v>
      </c>
      <c r="F373" t="s">
        <v>78</v>
      </c>
      <c r="G373" t="s">
        <v>78</v>
      </c>
      <c r="H373" t="s">
        <v>1261</v>
      </c>
      <c r="I373" t="s">
        <v>1315</v>
      </c>
      <c r="J373" s="3" t="s">
        <v>1302</v>
      </c>
      <c r="K373" s="3"/>
      <c r="L373" s="3" t="s">
        <v>597</v>
      </c>
      <c r="M373" s="3">
        <v>46160</v>
      </c>
      <c r="N373" s="4">
        <v>800000</v>
      </c>
      <c r="O373" s="3" t="s">
        <v>1303</v>
      </c>
      <c r="P373" s="3">
        <v>59976</v>
      </c>
      <c r="Q373" s="4">
        <v>59976</v>
      </c>
      <c r="R373" s="3" t="s">
        <v>1304</v>
      </c>
      <c r="S373" s="3" t="s">
        <v>4</v>
      </c>
      <c r="T373" s="3" t="s">
        <v>4</v>
      </c>
      <c r="U373" s="3"/>
    </row>
    <row r="374" spans="1:21">
      <c r="A374">
        <v>3161</v>
      </c>
      <c r="B374" t="s">
        <v>12</v>
      </c>
      <c r="C374" t="s">
        <v>12</v>
      </c>
      <c r="D374" t="s">
        <v>75</v>
      </c>
      <c r="E374" t="s">
        <v>75</v>
      </c>
      <c r="F374" t="s">
        <v>78</v>
      </c>
      <c r="G374" t="s">
        <v>78</v>
      </c>
      <c r="H374" t="s">
        <v>1261</v>
      </c>
      <c r="I374" t="s">
        <v>1316</v>
      </c>
      <c r="J374" s="3" t="s">
        <v>1317</v>
      </c>
      <c r="K374" s="3"/>
      <c r="L374" s="3" t="s">
        <v>1264</v>
      </c>
      <c r="M374" s="3">
        <v>46111</v>
      </c>
      <c r="N374" s="4">
        <v>3500000</v>
      </c>
      <c r="O374" s="3" t="s">
        <v>1318</v>
      </c>
      <c r="P374" s="3">
        <v>315000</v>
      </c>
      <c r="Q374" s="4">
        <v>315000</v>
      </c>
      <c r="R374" s="3" t="s">
        <v>1319</v>
      </c>
      <c r="S374" s="3" t="s">
        <v>4</v>
      </c>
      <c r="T374" s="3" t="s">
        <v>4</v>
      </c>
      <c r="U374" s="3"/>
    </row>
    <row r="375" spans="1:21">
      <c r="A375">
        <v>3080</v>
      </c>
      <c r="B375" t="s">
        <v>12</v>
      </c>
      <c r="C375" t="s">
        <v>12</v>
      </c>
      <c r="D375" t="s">
        <v>75</v>
      </c>
      <c r="E375" t="s">
        <v>75</v>
      </c>
      <c r="F375" t="s">
        <v>78</v>
      </c>
      <c r="G375" t="s">
        <v>78</v>
      </c>
      <c r="H375" t="s">
        <v>1320</v>
      </c>
      <c r="I375" t="s">
        <v>1321</v>
      </c>
      <c r="J375" s="3" t="s">
        <v>1322</v>
      </c>
      <c r="K375" s="3"/>
      <c r="L375" s="3" t="s">
        <v>1264</v>
      </c>
      <c r="M375" s="3">
        <v>46076</v>
      </c>
      <c r="N375" s="4">
        <v>2270000</v>
      </c>
      <c r="O375" s="3" t="s">
        <v>1265</v>
      </c>
      <c r="P375" s="3">
        <v>227000</v>
      </c>
      <c r="Q375" s="4">
        <v>227000</v>
      </c>
      <c r="R375" s="3" t="s">
        <v>891</v>
      </c>
      <c r="S375" s="3" t="s">
        <v>4</v>
      </c>
      <c r="T375" s="3" t="s">
        <v>4</v>
      </c>
      <c r="U375" s="3"/>
    </row>
    <row r="376" spans="1:21">
      <c r="A376">
        <v>3539</v>
      </c>
      <c r="B376" t="s">
        <v>12</v>
      </c>
      <c r="C376" t="s">
        <v>12</v>
      </c>
      <c r="D376" t="s">
        <v>75</v>
      </c>
      <c r="E376" t="s">
        <v>75</v>
      </c>
      <c r="F376" t="s">
        <v>79</v>
      </c>
      <c r="G376" t="s">
        <v>79</v>
      </c>
      <c r="H376" t="s">
        <v>1323</v>
      </c>
      <c r="I376" t="s">
        <v>1324</v>
      </c>
      <c r="J376" s="3" t="s">
        <v>1325</v>
      </c>
      <c r="K376" s="3"/>
      <c r="L376" s="3" t="s">
        <v>327</v>
      </c>
      <c r="M376" s="3">
        <v>46274</v>
      </c>
      <c r="N376" s="4">
        <v>2050000</v>
      </c>
      <c r="O376" s="3"/>
      <c r="P376" s="3">
        <v>170000</v>
      </c>
      <c r="Q376" s="4">
        <v>170000</v>
      </c>
      <c r="R376" s="3"/>
      <c r="S376" s="3" t="s">
        <v>20</v>
      </c>
      <c r="T376" s="3" t="s">
        <v>20</v>
      </c>
      <c r="U376" s="3"/>
    </row>
    <row r="377" spans="1:21">
      <c r="A377">
        <v>3413</v>
      </c>
      <c r="B377" t="s">
        <v>12</v>
      </c>
      <c r="C377" t="s">
        <v>12</v>
      </c>
      <c r="D377" t="s">
        <v>75</v>
      </c>
      <c r="E377" t="s">
        <v>75</v>
      </c>
      <c r="F377" t="s">
        <v>80</v>
      </c>
      <c r="G377" t="s">
        <v>80</v>
      </c>
      <c r="H377" t="s">
        <v>1261</v>
      </c>
      <c r="I377" t="s">
        <v>1326</v>
      </c>
      <c r="J377" s="3" t="s">
        <v>1310</v>
      </c>
      <c r="K377" s="3"/>
      <c r="L377" s="3" t="s">
        <v>1264</v>
      </c>
      <c r="M377" s="3">
        <v>46223</v>
      </c>
      <c r="N377" s="4">
        <v>1200000</v>
      </c>
      <c r="O377" s="3"/>
      <c r="P377" s="3">
        <v>100000</v>
      </c>
      <c r="Q377" s="4">
        <v>100000</v>
      </c>
      <c r="R377" s="3"/>
      <c r="S377" s="3" t="s">
        <v>20</v>
      </c>
      <c r="T377" s="3" t="s">
        <v>20</v>
      </c>
      <c r="U377" s="3"/>
    </row>
    <row r="378" spans="1:21">
      <c r="A378">
        <v>3028</v>
      </c>
      <c r="B378" t="s">
        <v>12</v>
      </c>
      <c r="C378" t="s">
        <v>12</v>
      </c>
      <c r="D378" t="s">
        <v>75</v>
      </c>
      <c r="E378" t="s">
        <v>75</v>
      </c>
      <c r="F378" t="s">
        <v>80</v>
      </c>
      <c r="G378" t="s">
        <v>80</v>
      </c>
      <c r="H378" t="s">
        <v>1327</v>
      </c>
      <c r="I378" t="s">
        <v>1328</v>
      </c>
      <c r="J378" s="3" t="s">
        <v>1329</v>
      </c>
      <c r="K378" s="3">
        <v>1</v>
      </c>
      <c r="L378" s="3" t="s">
        <v>327</v>
      </c>
      <c r="M378" s="3">
        <v>46041</v>
      </c>
      <c r="N378" s="4">
        <v>2500000</v>
      </c>
      <c r="O378" s="3"/>
      <c r="P378" s="3"/>
      <c r="Q378" s="4"/>
      <c r="R378" s="3"/>
      <c r="S378" s="3" t="s">
        <v>21</v>
      </c>
      <c r="T378" s="3" t="s">
        <v>21</v>
      </c>
      <c r="U378" s="3" t="s">
        <v>951</v>
      </c>
    </row>
    <row r="379" spans="1:21">
      <c r="A379">
        <v>3300</v>
      </c>
      <c r="B379" t="s">
        <v>12</v>
      </c>
      <c r="C379" t="s">
        <v>12</v>
      </c>
      <c r="D379" t="s">
        <v>75</v>
      </c>
      <c r="E379" t="s">
        <v>75</v>
      </c>
      <c r="F379" t="s">
        <v>80</v>
      </c>
      <c r="G379" t="s">
        <v>80</v>
      </c>
      <c r="H379" t="s">
        <v>1327</v>
      </c>
      <c r="I379" t="s">
        <v>1330</v>
      </c>
      <c r="J379" s="3" t="s">
        <v>1331</v>
      </c>
      <c r="K379" s="3"/>
      <c r="L379" s="3" t="s">
        <v>12</v>
      </c>
      <c r="M379" s="3">
        <v>46171</v>
      </c>
      <c r="N379" s="4">
        <v>2600000</v>
      </c>
      <c r="O379" s="3"/>
      <c r="P379" s="3">
        <v>0</v>
      </c>
      <c r="Q379" s="4">
        <v>0</v>
      </c>
      <c r="R379" s="3"/>
      <c r="S379" s="3" t="s">
        <v>21</v>
      </c>
      <c r="T379" s="3" t="s">
        <v>21</v>
      </c>
      <c r="U379" s="3"/>
    </row>
    <row r="380" spans="1:21">
      <c r="A380">
        <v>3067</v>
      </c>
      <c r="B380" t="s">
        <v>12</v>
      </c>
      <c r="C380" t="s">
        <v>12</v>
      </c>
      <c r="D380" t="s">
        <v>75</v>
      </c>
      <c r="E380" t="s">
        <v>75</v>
      </c>
      <c r="F380" t="s">
        <v>80</v>
      </c>
      <c r="G380" t="s">
        <v>80</v>
      </c>
      <c r="H380" t="s">
        <v>1327</v>
      </c>
      <c r="I380" t="s">
        <v>1332</v>
      </c>
      <c r="J380" s="3" t="s">
        <v>1333</v>
      </c>
      <c r="K380" s="3"/>
      <c r="L380" s="3" t="s">
        <v>1334</v>
      </c>
      <c r="M380" s="3" t="s">
        <v>438</v>
      </c>
      <c r="N380" s="4">
        <v>667338</v>
      </c>
      <c r="O380" s="3" t="s">
        <v>1335</v>
      </c>
      <c r="P380" s="3">
        <v>55589.255400000002</v>
      </c>
      <c r="Q380" s="4">
        <v>55589.255400000002</v>
      </c>
      <c r="R380" s="3" t="s">
        <v>285</v>
      </c>
      <c r="S380" s="3" t="s">
        <v>4</v>
      </c>
      <c r="T380" s="3" t="s">
        <v>4</v>
      </c>
      <c r="U380" s="3"/>
    </row>
    <row r="381" spans="1:21">
      <c r="A381">
        <v>3367</v>
      </c>
      <c r="B381" t="s">
        <v>12</v>
      </c>
      <c r="C381" t="s">
        <v>12</v>
      </c>
      <c r="D381" t="s">
        <v>75</v>
      </c>
      <c r="E381" t="s">
        <v>75</v>
      </c>
      <c r="F381" t="s">
        <v>80</v>
      </c>
      <c r="G381" t="s">
        <v>80</v>
      </c>
      <c r="H381" t="s">
        <v>1327</v>
      </c>
      <c r="I381" t="s">
        <v>1336</v>
      </c>
      <c r="J381" s="3" t="s">
        <v>1337</v>
      </c>
      <c r="K381" s="3"/>
      <c r="L381" s="3" t="s">
        <v>456</v>
      </c>
      <c r="M381" s="3">
        <v>46188</v>
      </c>
      <c r="N381" s="4">
        <v>800000</v>
      </c>
      <c r="O381" s="3"/>
      <c r="P381" s="3">
        <v>0</v>
      </c>
      <c r="Q381" s="4">
        <v>0</v>
      </c>
      <c r="R381" s="3"/>
      <c r="S381" s="3" t="s">
        <v>21</v>
      </c>
      <c r="T381" s="3" t="s">
        <v>21</v>
      </c>
      <c r="U381" s="3"/>
    </row>
    <row r="382" spans="1:21">
      <c r="A382">
        <v>3400</v>
      </c>
      <c r="B382" t="s">
        <v>12</v>
      </c>
      <c r="C382" t="s">
        <v>12</v>
      </c>
      <c r="D382" t="s">
        <v>75</v>
      </c>
      <c r="E382" t="s">
        <v>75</v>
      </c>
      <c r="F382" t="s">
        <v>80</v>
      </c>
      <c r="G382" t="s">
        <v>80</v>
      </c>
      <c r="H382" t="s">
        <v>1327</v>
      </c>
      <c r="I382" t="s">
        <v>1338</v>
      </c>
      <c r="J382" s="3" t="s">
        <v>1339</v>
      </c>
      <c r="K382" s="3"/>
      <c r="L382" s="3" t="s">
        <v>1340</v>
      </c>
      <c r="M382" s="3">
        <v>46216</v>
      </c>
      <c r="N382" s="4" t="s">
        <v>1341</v>
      </c>
      <c r="O382" s="3" t="s">
        <v>1342</v>
      </c>
      <c r="P382" s="3" t="s">
        <v>1343</v>
      </c>
      <c r="Q382" s="4">
        <v>113029.94</v>
      </c>
      <c r="R382" s="3" t="s">
        <v>341</v>
      </c>
      <c r="S382" s="3" t="s">
        <v>4</v>
      </c>
      <c r="T382" s="3" t="s">
        <v>4</v>
      </c>
      <c r="U382" s="3"/>
    </row>
    <row r="383" spans="1:21">
      <c r="A383">
        <v>3525</v>
      </c>
      <c r="B383" t="s">
        <v>12</v>
      </c>
      <c r="C383" t="s">
        <v>12</v>
      </c>
      <c r="D383" t="s">
        <v>75</v>
      </c>
      <c r="E383" t="s">
        <v>75</v>
      </c>
      <c r="F383" t="s">
        <v>80</v>
      </c>
      <c r="G383" t="s">
        <v>80</v>
      </c>
      <c r="H383" t="s">
        <v>1327</v>
      </c>
      <c r="I383" t="s">
        <v>1344</v>
      </c>
      <c r="J383" s="3" t="s">
        <v>1345</v>
      </c>
      <c r="K383" s="3"/>
      <c r="L383" s="3" t="s">
        <v>1346</v>
      </c>
      <c r="M383" s="3">
        <v>46272</v>
      </c>
      <c r="N383" s="4">
        <v>1200000</v>
      </c>
      <c r="O383" s="3"/>
      <c r="P383" s="3">
        <v>100000</v>
      </c>
      <c r="Q383" s="4">
        <v>100000</v>
      </c>
      <c r="R383" s="3"/>
      <c r="S383" s="3" t="s">
        <v>20</v>
      </c>
      <c r="T383" s="3" t="s">
        <v>20</v>
      </c>
      <c r="U383" s="3"/>
    </row>
    <row r="384" spans="1:21">
      <c r="A384">
        <v>3416</v>
      </c>
      <c r="B384" t="s">
        <v>12</v>
      </c>
      <c r="C384" t="s">
        <v>12</v>
      </c>
      <c r="D384" t="s">
        <v>75</v>
      </c>
      <c r="E384" t="s">
        <v>75</v>
      </c>
      <c r="F384" t="s">
        <v>80</v>
      </c>
      <c r="G384" t="s">
        <v>80</v>
      </c>
      <c r="H384" t="s">
        <v>1327</v>
      </c>
      <c r="I384" t="s">
        <v>1347</v>
      </c>
      <c r="J384" s="3" t="s">
        <v>1348</v>
      </c>
      <c r="K384" s="3"/>
      <c r="L384" s="3" t="s">
        <v>1349</v>
      </c>
      <c r="M384" s="3">
        <v>46223</v>
      </c>
      <c r="N384" s="4" t="s">
        <v>1350</v>
      </c>
      <c r="O384" s="3" t="s">
        <v>1351</v>
      </c>
      <c r="P384" s="3">
        <v>66800.850000000006</v>
      </c>
      <c r="Q384" s="4">
        <v>66800.850000000006</v>
      </c>
      <c r="R384" s="3" t="s">
        <v>341</v>
      </c>
      <c r="S384" s="3" t="s">
        <v>4</v>
      </c>
      <c r="T384" s="3" t="s">
        <v>4</v>
      </c>
      <c r="U384" s="3"/>
    </row>
    <row r="385" spans="1:21">
      <c r="A385">
        <v>3492</v>
      </c>
      <c r="B385" t="s">
        <v>12</v>
      </c>
      <c r="C385" t="s">
        <v>12</v>
      </c>
      <c r="D385" t="s">
        <v>75</v>
      </c>
      <c r="E385" t="s">
        <v>75</v>
      </c>
      <c r="F385" t="s">
        <v>80</v>
      </c>
      <c r="G385" t="s">
        <v>80</v>
      </c>
      <c r="H385" t="s">
        <v>1327</v>
      </c>
      <c r="I385" t="s">
        <v>1352</v>
      </c>
      <c r="J385" s="3" t="s">
        <v>1353</v>
      </c>
      <c r="K385" s="3"/>
      <c r="L385" s="3" t="s">
        <v>1354</v>
      </c>
      <c r="M385" s="3">
        <v>46254</v>
      </c>
      <c r="N385" s="4">
        <v>600000</v>
      </c>
      <c r="O385" s="3"/>
      <c r="P385" s="3">
        <v>50000</v>
      </c>
      <c r="Q385" s="4">
        <v>50000</v>
      </c>
      <c r="R385" s="3"/>
      <c r="S385" s="3" t="s">
        <v>20</v>
      </c>
      <c r="T385" s="3" t="s">
        <v>20</v>
      </c>
      <c r="U385" s="3"/>
    </row>
    <row r="386" spans="1:21">
      <c r="A386">
        <v>3299</v>
      </c>
      <c r="B386" t="s">
        <v>12</v>
      </c>
      <c r="C386" t="s">
        <v>12</v>
      </c>
      <c r="D386" t="s">
        <v>75</v>
      </c>
      <c r="E386" t="s">
        <v>75</v>
      </c>
      <c r="F386" t="s">
        <v>80</v>
      </c>
      <c r="G386" t="s">
        <v>80</v>
      </c>
      <c r="H386" t="s">
        <v>1327</v>
      </c>
      <c r="I386" t="s">
        <v>1355</v>
      </c>
      <c r="J386" s="3" t="s">
        <v>1356</v>
      </c>
      <c r="K386" s="3"/>
      <c r="L386" s="3" t="s">
        <v>1357</v>
      </c>
      <c r="M386" s="3">
        <v>46170</v>
      </c>
      <c r="N386" s="4" t="s">
        <v>1358</v>
      </c>
      <c r="O386" s="3" t="s">
        <v>1359</v>
      </c>
      <c r="P386" s="3" t="s">
        <v>1360</v>
      </c>
      <c r="Q386" s="4">
        <v>267379.40000000002</v>
      </c>
      <c r="R386" s="3" t="s">
        <v>216</v>
      </c>
      <c r="S386" s="3" t="s">
        <v>4</v>
      </c>
      <c r="T386" s="3" t="s">
        <v>4</v>
      </c>
      <c r="U386" s="3"/>
    </row>
    <row r="387" spans="1:21">
      <c r="A387">
        <v>3163</v>
      </c>
      <c r="B387" t="s">
        <v>12</v>
      </c>
      <c r="C387" t="s">
        <v>12</v>
      </c>
      <c r="D387" t="s">
        <v>75</v>
      </c>
      <c r="E387" t="s">
        <v>75</v>
      </c>
      <c r="F387" t="s">
        <v>80</v>
      </c>
      <c r="G387" t="s">
        <v>80</v>
      </c>
      <c r="H387" t="s">
        <v>1327</v>
      </c>
      <c r="I387" t="s">
        <v>1361</v>
      </c>
      <c r="J387" s="3" t="s">
        <v>1362</v>
      </c>
      <c r="K387" s="3"/>
      <c r="L387" s="3" t="s">
        <v>591</v>
      </c>
      <c r="M387" s="3" t="s">
        <v>370</v>
      </c>
      <c r="N387" s="4">
        <v>877714</v>
      </c>
      <c r="O387" s="3" t="s">
        <v>1335</v>
      </c>
      <c r="P387" s="3">
        <v>73113.576199999996</v>
      </c>
      <c r="Q387" s="4">
        <v>73113.576199999996</v>
      </c>
      <c r="R387" s="3" t="s">
        <v>285</v>
      </c>
      <c r="S387" s="3" t="s">
        <v>4</v>
      </c>
      <c r="T387" s="3" t="s">
        <v>4</v>
      </c>
      <c r="U387" s="3"/>
    </row>
    <row r="388" spans="1:21">
      <c r="A388">
        <v>3230</v>
      </c>
      <c r="B388" t="s">
        <v>12</v>
      </c>
      <c r="C388" t="s">
        <v>12</v>
      </c>
      <c r="D388" t="s">
        <v>75</v>
      </c>
      <c r="E388" t="s">
        <v>75</v>
      </c>
      <c r="F388" t="s">
        <v>80</v>
      </c>
      <c r="G388" t="s">
        <v>80</v>
      </c>
      <c r="H388" t="s">
        <v>1327</v>
      </c>
      <c r="I388" t="s">
        <v>1363</v>
      </c>
      <c r="J388" s="3" t="s">
        <v>1348</v>
      </c>
      <c r="K388" s="3"/>
      <c r="L388" s="3" t="s">
        <v>750</v>
      </c>
      <c r="M388" s="3">
        <v>46129</v>
      </c>
      <c r="N388" s="4">
        <v>743635</v>
      </c>
      <c r="O388" s="3" t="s">
        <v>1364</v>
      </c>
      <c r="P388" s="3">
        <v>61944.79</v>
      </c>
      <c r="Q388" s="4">
        <v>61944.79</v>
      </c>
      <c r="R388" s="3" t="s">
        <v>1365</v>
      </c>
      <c r="S388" s="3" t="s">
        <v>4</v>
      </c>
      <c r="T388" s="3" t="s">
        <v>4</v>
      </c>
      <c r="U388" s="3"/>
    </row>
    <row r="389" spans="1:21">
      <c r="A389">
        <v>2917</v>
      </c>
      <c r="B389" t="s">
        <v>12</v>
      </c>
      <c r="C389" t="s">
        <v>12</v>
      </c>
      <c r="D389" t="s">
        <v>75</v>
      </c>
      <c r="E389" t="s">
        <v>75</v>
      </c>
      <c r="F389" t="s">
        <v>81</v>
      </c>
      <c r="G389" t="s">
        <v>81</v>
      </c>
      <c r="H389" t="s">
        <v>1366</v>
      </c>
      <c r="I389" t="s">
        <v>1367</v>
      </c>
      <c r="J389" s="3" t="s">
        <v>1368</v>
      </c>
      <c r="K389" s="3"/>
      <c r="L389" s="3" t="s">
        <v>1369</v>
      </c>
      <c r="M389" s="3" t="s">
        <v>792</v>
      </c>
      <c r="N389" s="4">
        <v>420000</v>
      </c>
      <c r="O389" s="3" t="s">
        <v>1370</v>
      </c>
      <c r="P389" s="3">
        <v>34986</v>
      </c>
      <c r="Q389" s="4">
        <v>34986</v>
      </c>
      <c r="R389" s="3" t="s">
        <v>323</v>
      </c>
      <c r="S389" s="3" t="s">
        <v>4</v>
      </c>
      <c r="T389" s="3" t="s">
        <v>4</v>
      </c>
      <c r="U389" s="3"/>
    </row>
    <row r="390" spans="1:21">
      <c r="A390">
        <v>3027</v>
      </c>
      <c r="B390" t="s">
        <v>12</v>
      </c>
      <c r="C390" t="s">
        <v>12</v>
      </c>
      <c r="D390" t="s">
        <v>75</v>
      </c>
      <c r="E390" t="s">
        <v>75</v>
      </c>
      <c r="F390" t="s">
        <v>82</v>
      </c>
      <c r="G390" t="s">
        <v>82</v>
      </c>
      <c r="H390" t="s">
        <v>921</v>
      </c>
      <c r="I390" t="s">
        <v>1371</v>
      </c>
      <c r="J390" s="3" t="s">
        <v>1372</v>
      </c>
      <c r="K390" s="3"/>
      <c r="L390" s="3" t="s">
        <v>1373</v>
      </c>
      <c r="M390" s="3">
        <v>46037</v>
      </c>
      <c r="N390" s="4">
        <v>2550000</v>
      </c>
      <c r="O390" s="3" t="s">
        <v>950</v>
      </c>
      <c r="P390" s="3">
        <v>212415</v>
      </c>
      <c r="Q390" s="4">
        <v>212415</v>
      </c>
      <c r="R390" s="3" t="s">
        <v>961</v>
      </c>
      <c r="S390" s="3" t="s">
        <v>4</v>
      </c>
      <c r="T390" s="3" t="s">
        <v>4</v>
      </c>
      <c r="U390" s="3"/>
    </row>
    <row r="391" spans="1:21">
      <c r="A391">
        <v>3490</v>
      </c>
      <c r="B391" t="s">
        <v>12</v>
      </c>
      <c r="C391" t="s">
        <v>12</v>
      </c>
      <c r="D391" t="s">
        <v>75</v>
      </c>
      <c r="E391" t="s">
        <v>75</v>
      </c>
      <c r="F391" t="s">
        <v>82</v>
      </c>
      <c r="G391" t="s">
        <v>82</v>
      </c>
      <c r="H391" t="s">
        <v>1258</v>
      </c>
      <c r="I391" t="s">
        <v>1374</v>
      </c>
      <c r="J391" s="3" t="s">
        <v>1308</v>
      </c>
      <c r="K391" s="3"/>
      <c r="L391" s="3" t="s">
        <v>1375</v>
      </c>
      <c r="M391" s="3">
        <v>46253</v>
      </c>
      <c r="N391" s="4">
        <v>1575750</v>
      </c>
      <c r="O391" s="3" t="s">
        <v>1376</v>
      </c>
      <c r="P391" s="3">
        <v>131260</v>
      </c>
      <c r="Q391" s="4">
        <v>131260</v>
      </c>
      <c r="R391" s="3" t="s">
        <v>1268</v>
      </c>
      <c r="S391" s="3" t="s">
        <v>19</v>
      </c>
      <c r="T391" s="3" t="s">
        <v>19</v>
      </c>
      <c r="U391" s="3"/>
    </row>
    <row r="392" spans="1:21">
      <c r="A392">
        <v>3019</v>
      </c>
      <c r="B392" t="s">
        <v>12</v>
      </c>
      <c r="C392" t="s">
        <v>12</v>
      </c>
      <c r="D392" t="s">
        <v>75</v>
      </c>
      <c r="E392" t="s">
        <v>75</v>
      </c>
      <c r="F392" t="s">
        <v>82</v>
      </c>
      <c r="G392" t="s">
        <v>82</v>
      </c>
      <c r="H392" t="s">
        <v>1261</v>
      </c>
      <c r="I392" t="s">
        <v>1377</v>
      </c>
      <c r="J392" s="3" t="s">
        <v>1308</v>
      </c>
      <c r="K392" s="3"/>
      <c r="L392" s="3" t="s">
        <v>597</v>
      </c>
      <c r="M392" s="3">
        <v>46034</v>
      </c>
      <c r="N392" s="4">
        <v>680000</v>
      </c>
      <c r="O392" s="3" t="s">
        <v>1378</v>
      </c>
      <c r="P392" s="3">
        <v>56644</v>
      </c>
      <c r="Q392" s="4">
        <v>56644</v>
      </c>
      <c r="R392" s="3" t="s">
        <v>1379</v>
      </c>
      <c r="S392" s="3" t="s">
        <v>4</v>
      </c>
      <c r="T392" s="3" t="s">
        <v>4</v>
      </c>
      <c r="U392" s="3"/>
    </row>
    <row r="393" spans="1:21">
      <c r="A393">
        <v>3102</v>
      </c>
      <c r="B393" t="s">
        <v>12</v>
      </c>
      <c r="C393" t="s">
        <v>12</v>
      </c>
      <c r="D393" t="s">
        <v>75</v>
      </c>
      <c r="E393" t="s">
        <v>75</v>
      </c>
      <c r="F393" t="s">
        <v>82</v>
      </c>
      <c r="G393" t="s">
        <v>82</v>
      </c>
      <c r="H393" t="s">
        <v>1261</v>
      </c>
      <c r="I393" t="s">
        <v>1380</v>
      </c>
      <c r="J393" s="3" t="s">
        <v>1381</v>
      </c>
      <c r="K393" s="3"/>
      <c r="L393" s="3" t="s">
        <v>1369</v>
      </c>
      <c r="M393" s="3">
        <v>46090</v>
      </c>
      <c r="N393" s="4">
        <v>580000</v>
      </c>
      <c r="O393" s="3" t="s">
        <v>1382</v>
      </c>
      <c r="P393" s="3">
        <v>48314</v>
      </c>
      <c r="Q393" s="4">
        <v>48314</v>
      </c>
      <c r="R393" s="3" t="s">
        <v>891</v>
      </c>
      <c r="S393" s="3" t="s">
        <v>4</v>
      </c>
      <c r="T393" s="3" t="s">
        <v>4</v>
      </c>
      <c r="U393" s="3"/>
    </row>
    <row r="394" spans="1:21">
      <c r="A394">
        <v>3148</v>
      </c>
      <c r="B394" t="s">
        <v>12</v>
      </c>
      <c r="C394" t="s">
        <v>12</v>
      </c>
      <c r="D394" t="s">
        <v>75</v>
      </c>
      <c r="E394" t="s">
        <v>75</v>
      </c>
      <c r="F394" t="s">
        <v>82</v>
      </c>
      <c r="G394" t="s">
        <v>82</v>
      </c>
      <c r="H394" t="s">
        <v>1261</v>
      </c>
      <c r="I394" t="s">
        <v>1383</v>
      </c>
      <c r="J394" s="3" t="s">
        <v>1384</v>
      </c>
      <c r="K394" s="3"/>
      <c r="L394" s="3" t="s">
        <v>597</v>
      </c>
      <c r="M394" s="3">
        <v>46104</v>
      </c>
      <c r="N394" s="4">
        <v>975000</v>
      </c>
      <c r="O394" s="3" t="s">
        <v>1382</v>
      </c>
      <c r="P394" s="3">
        <v>81217.5</v>
      </c>
      <c r="Q394" s="4">
        <v>81217.5</v>
      </c>
      <c r="R394" s="3" t="s">
        <v>891</v>
      </c>
      <c r="S394" s="3" t="s">
        <v>4</v>
      </c>
      <c r="T394" s="3" t="s">
        <v>4</v>
      </c>
      <c r="U394" s="3"/>
    </row>
    <row r="395" spans="1:21">
      <c r="A395">
        <v>3153</v>
      </c>
      <c r="B395" t="s">
        <v>12</v>
      </c>
      <c r="C395" t="s">
        <v>12</v>
      </c>
      <c r="D395" t="s">
        <v>75</v>
      </c>
      <c r="E395" t="s">
        <v>75</v>
      </c>
      <c r="F395" t="s">
        <v>82</v>
      </c>
      <c r="G395" t="s">
        <v>82</v>
      </c>
      <c r="H395" t="s">
        <v>1261</v>
      </c>
      <c r="I395" t="s">
        <v>419</v>
      </c>
      <c r="J395" s="3" t="s">
        <v>1385</v>
      </c>
      <c r="K395" s="3"/>
      <c r="L395" s="3" t="s">
        <v>597</v>
      </c>
      <c r="M395" s="3">
        <v>46104</v>
      </c>
      <c r="N395" s="4">
        <v>850000</v>
      </c>
      <c r="O395" s="3"/>
      <c r="P395" s="3">
        <v>0</v>
      </c>
      <c r="Q395" s="4">
        <v>0</v>
      </c>
      <c r="R395" s="3"/>
      <c r="S395" s="3" t="s">
        <v>21</v>
      </c>
      <c r="T395" s="3" t="s">
        <v>21</v>
      </c>
      <c r="U395" s="3"/>
    </row>
    <row r="396" spans="1:21">
      <c r="A396">
        <v>3068</v>
      </c>
      <c r="B396" t="s">
        <v>12</v>
      </c>
      <c r="C396" t="s">
        <v>12</v>
      </c>
      <c r="D396" t="s">
        <v>75</v>
      </c>
      <c r="E396" t="s">
        <v>75</v>
      </c>
      <c r="F396" t="s">
        <v>83</v>
      </c>
      <c r="G396" t="s">
        <v>83</v>
      </c>
      <c r="H396" t="s">
        <v>397</v>
      </c>
      <c r="I396" t="s">
        <v>1386</v>
      </c>
      <c r="J396" s="3" t="s">
        <v>593</v>
      </c>
      <c r="K396" s="3" t="s">
        <v>755</v>
      </c>
      <c r="L396" s="3" t="s">
        <v>1196</v>
      </c>
      <c r="M396" s="3">
        <v>46069</v>
      </c>
      <c r="N396" s="4">
        <v>1164367</v>
      </c>
      <c r="O396" s="3" t="s">
        <v>412</v>
      </c>
      <c r="P396" s="3">
        <v>96991.771099999998</v>
      </c>
      <c r="Q396" s="4">
        <v>96991.771099999998</v>
      </c>
      <c r="R396" s="3" t="s">
        <v>413</v>
      </c>
      <c r="S396" s="3" t="s">
        <v>4</v>
      </c>
      <c r="T396" s="3" t="s">
        <v>4</v>
      </c>
      <c r="U396" s="3"/>
    </row>
    <row r="397" spans="1:21">
      <c r="A397">
        <v>3202</v>
      </c>
      <c r="B397" t="s">
        <v>12</v>
      </c>
      <c r="C397" t="s">
        <v>12</v>
      </c>
      <c r="D397" t="s">
        <v>75</v>
      </c>
      <c r="E397" t="s">
        <v>75</v>
      </c>
      <c r="F397" t="s">
        <v>83</v>
      </c>
      <c r="G397" t="s">
        <v>83</v>
      </c>
      <c r="H397" t="s">
        <v>1258</v>
      </c>
      <c r="I397" t="s">
        <v>1387</v>
      </c>
      <c r="J397" s="3" t="s">
        <v>1388</v>
      </c>
      <c r="K397" s="3"/>
      <c r="L397" s="3" t="s">
        <v>166</v>
      </c>
      <c r="M397" s="3">
        <v>46127</v>
      </c>
      <c r="N397" s="4">
        <v>2921750</v>
      </c>
      <c r="O397" s="3" t="s">
        <v>1272</v>
      </c>
      <c r="P397" s="3">
        <v>292175</v>
      </c>
      <c r="Q397" s="4">
        <v>292175</v>
      </c>
      <c r="R397" s="3" t="s">
        <v>1273</v>
      </c>
      <c r="S397" s="3" t="s">
        <v>4</v>
      </c>
      <c r="T397" s="3" t="s">
        <v>4</v>
      </c>
      <c r="U397" s="3"/>
    </row>
    <row r="398" spans="1:21">
      <c r="A398">
        <v>3033</v>
      </c>
      <c r="B398" t="s">
        <v>12</v>
      </c>
      <c r="C398" t="s">
        <v>12</v>
      </c>
      <c r="D398" t="s">
        <v>75</v>
      </c>
      <c r="E398" t="s">
        <v>75</v>
      </c>
      <c r="F398" t="s">
        <v>83</v>
      </c>
      <c r="G398" t="s">
        <v>83</v>
      </c>
      <c r="H398" t="s">
        <v>1258</v>
      </c>
      <c r="I398" t="s">
        <v>1389</v>
      </c>
      <c r="J398" s="3" t="s">
        <v>1390</v>
      </c>
      <c r="K398" s="3"/>
      <c r="L398" s="3" t="s">
        <v>327</v>
      </c>
      <c r="M398" s="3">
        <v>46043</v>
      </c>
      <c r="N398" s="4">
        <v>3040000</v>
      </c>
      <c r="O398" s="3" t="s">
        <v>1391</v>
      </c>
      <c r="P398" s="3">
        <v>304000</v>
      </c>
      <c r="Q398" s="4">
        <v>304000</v>
      </c>
      <c r="R398" s="3" t="s">
        <v>1392</v>
      </c>
      <c r="S398" s="3" t="s">
        <v>4</v>
      </c>
      <c r="T398" s="3" t="s">
        <v>4</v>
      </c>
      <c r="U398" s="3"/>
    </row>
    <row r="399" spans="1:21">
      <c r="A399">
        <v>3358</v>
      </c>
      <c r="B399" t="s">
        <v>12</v>
      </c>
      <c r="C399" t="s">
        <v>12</v>
      </c>
      <c r="D399" t="s">
        <v>75</v>
      </c>
      <c r="E399" t="s">
        <v>75</v>
      </c>
      <c r="F399" t="s">
        <v>83</v>
      </c>
      <c r="G399" t="s">
        <v>83</v>
      </c>
      <c r="H399" t="s">
        <v>1258</v>
      </c>
      <c r="I399" t="s">
        <v>1393</v>
      </c>
      <c r="J399" s="3" t="s">
        <v>1270</v>
      </c>
      <c r="K399" s="3"/>
      <c r="L399" s="3" t="s">
        <v>144</v>
      </c>
      <c r="M399" s="3">
        <v>46190</v>
      </c>
      <c r="N399" s="4">
        <v>1834500</v>
      </c>
      <c r="O399" s="3" t="s">
        <v>1275</v>
      </c>
      <c r="P399" s="3" t="s">
        <v>1394</v>
      </c>
      <c r="Q399" s="4">
        <v>183450</v>
      </c>
      <c r="R399" s="3" t="s">
        <v>577</v>
      </c>
      <c r="S399" s="3" t="s">
        <v>19</v>
      </c>
      <c r="T399" s="3" t="s">
        <v>19</v>
      </c>
      <c r="U399" s="3"/>
    </row>
    <row r="400" spans="1:21">
      <c r="A400">
        <v>3453</v>
      </c>
      <c r="B400" t="s">
        <v>12</v>
      </c>
      <c r="C400" t="s">
        <v>12</v>
      </c>
      <c r="D400" t="s">
        <v>75</v>
      </c>
      <c r="E400" t="s">
        <v>75</v>
      </c>
      <c r="F400" t="s">
        <v>83</v>
      </c>
      <c r="G400" t="s">
        <v>83</v>
      </c>
      <c r="H400" t="s">
        <v>1258</v>
      </c>
      <c r="I400" t="s">
        <v>1395</v>
      </c>
      <c r="J400" s="3" t="s">
        <v>1396</v>
      </c>
      <c r="K400" s="3"/>
      <c r="L400" s="3" t="s">
        <v>8</v>
      </c>
      <c r="M400" s="3">
        <v>46239</v>
      </c>
      <c r="N400" s="4">
        <v>2435250</v>
      </c>
      <c r="O400" s="3" t="s">
        <v>1397</v>
      </c>
      <c r="P400" s="3">
        <v>202856</v>
      </c>
      <c r="Q400" s="4">
        <v>202856</v>
      </c>
      <c r="R400" s="3" t="s">
        <v>1268</v>
      </c>
      <c r="S400" s="3" t="s">
        <v>19</v>
      </c>
      <c r="T400" s="3" t="s">
        <v>19</v>
      </c>
      <c r="U400" s="3"/>
    </row>
    <row r="401" spans="1:21">
      <c r="A401">
        <v>3356</v>
      </c>
      <c r="B401" t="s">
        <v>12</v>
      </c>
      <c r="C401" t="s">
        <v>12</v>
      </c>
      <c r="D401" t="s">
        <v>75</v>
      </c>
      <c r="E401" t="s">
        <v>75</v>
      </c>
      <c r="F401" t="s">
        <v>83</v>
      </c>
      <c r="G401" t="s">
        <v>83</v>
      </c>
      <c r="H401" t="s">
        <v>1258</v>
      </c>
      <c r="I401" t="s">
        <v>1398</v>
      </c>
      <c r="J401" s="3" t="s">
        <v>1399</v>
      </c>
      <c r="K401" s="3"/>
      <c r="L401" s="3" t="s">
        <v>1375</v>
      </c>
      <c r="M401" s="3">
        <v>46190</v>
      </c>
      <c r="N401" s="4">
        <v>1302000</v>
      </c>
      <c r="O401" s="3" t="s">
        <v>1400</v>
      </c>
      <c r="P401" s="3" t="s">
        <v>1401</v>
      </c>
      <c r="Q401" s="4">
        <v>130200</v>
      </c>
      <c r="R401" s="3" t="s">
        <v>577</v>
      </c>
      <c r="S401" s="3" t="s">
        <v>19</v>
      </c>
      <c r="T401" s="3" t="s">
        <v>19</v>
      </c>
      <c r="U401" s="3"/>
    </row>
    <row r="402" spans="1:21">
      <c r="A402">
        <v>3488</v>
      </c>
      <c r="B402" t="s">
        <v>12</v>
      </c>
      <c r="C402" t="s">
        <v>12</v>
      </c>
      <c r="D402" t="s">
        <v>75</v>
      </c>
      <c r="E402" t="s">
        <v>75</v>
      </c>
      <c r="F402" t="s">
        <v>83</v>
      </c>
      <c r="G402" t="s">
        <v>83</v>
      </c>
      <c r="H402" t="s">
        <v>1258</v>
      </c>
      <c r="I402" t="s">
        <v>1402</v>
      </c>
      <c r="J402" s="3" t="s">
        <v>1403</v>
      </c>
      <c r="K402" s="3"/>
      <c r="L402" s="3" t="s">
        <v>166</v>
      </c>
      <c r="M402" s="3">
        <v>46253</v>
      </c>
      <c r="N402" s="4">
        <v>3864250</v>
      </c>
      <c r="O402" s="3" t="s">
        <v>1404</v>
      </c>
      <c r="P402" s="3">
        <v>321892</v>
      </c>
      <c r="Q402" s="4">
        <v>321892</v>
      </c>
      <c r="R402" s="3" t="s">
        <v>1268</v>
      </c>
      <c r="S402" s="3" t="s">
        <v>19</v>
      </c>
      <c r="T402" s="3" t="s">
        <v>19</v>
      </c>
      <c r="U402" s="3"/>
    </row>
    <row r="403" spans="1:21">
      <c r="A403">
        <v>3227</v>
      </c>
      <c r="B403" t="s">
        <v>12</v>
      </c>
      <c r="C403" t="s">
        <v>12</v>
      </c>
      <c r="D403" t="s">
        <v>75</v>
      </c>
      <c r="E403" t="s">
        <v>75</v>
      </c>
      <c r="F403" t="s">
        <v>83</v>
      </c>
      <c r="G403" t="s">
        <v>83</v>
      </c>
      <c r="H403" t="s">
        <v>1258</v>
      </c>
      <c r="I403" t="s">
        <v>1405</v>
      </c>
      <c r="J403" s="3" t="s">
        <v>1406</v>
      </c>
      <c r="K403" s="3"/>
      <c r="L403" s="3" t="s">
        <v>327</v>
      </c>
      <c r="M403" s="3">
        <v>46127</v>
      </c>
      <c r="N403" s="4">
        <v>2850000</v>
      </c>
      <c r="O403" s="3" t="s">
        <v>1272</v>
      </c>
      <c r="P403" s="3">
        <v>285000</v>
      </c>
      <c r="Q403" s="4">
        <v>285000</v>
      </c>
      <c r="R403" s="3" t="s">
        <v>1273</v>
      </c>
      <c r="S403" s="3" t="s">
        <v>4</v>
      </c>
      <c r="T403" s="3" t="s">
        <v>4</v>
      </c>
      <c r="U403" s="3"/>
    </row>
    <row r="404" spans="1:21">
      <c r="A404">
        <v>3385</v>
      </c>
      <c r="B404" t="s">
        <v>12</v>
      </c>
      <c r="C404" t="s">
        <v>12</v>
      </c>
      <c r="D404" t="s">
        <v>75</v>
      </c>
      <c r="E404" t="s">
        <v>75</v>
      </c>
      <c r="F404" t="s">
        <v>83</v>
      </c>
      <c r="G404" t="s">
        <v>83</v>
      </c>
      <c r="H404" t="s">
        <v>1258</v>
      </c>
      <c r="I404" t="s">
        <v>1407</v>
      </c>
      <c r="J404" s="3" t="s">
        <v>1408</v>
      </c>
      <c r="K404" s="3"/>
      <c r="L404" s="3" t="s">
        <v>716</v>
      </c>
      <c r="M404" s="3">
        <v>46204</v>
      </c>
      <c r="N404" s="4">
        <v>2550000</v>
      </c>
      <c r="O404" s="3" t="s">
        <v>1282</v>
      </c>
      <c r="P404" s="3" t="s">
        <v>1409</v>
      </c>
      <c r="Q404" s="4">
        <v>197545.95</v>
      </c>
      <c r="R404" s="3" t="s">
        <v>509</v>
      </c>
      <c r="S404" s="3" t="s">
        <v>19</v>
      </c>
      <c r="T404" s="3" t="s">
        <v>19</v>
      </c>
      <c r="U404" s="3"/>
    </row>
    <row r="405" spans="1:21">
      <c r="A405">
        <v>3489</v>
      </c>
      <c r="B405" t="s">
        <v>12</v>
      </c>
      <c r="C405" t="s">
        <v>12</v>
      </c>
      <c r="D405" t="s">
        <v>75</v>
      </c>
      <c r="E405" t="s">
        <v>75</v>
      </c>
      <c r="F405" t="s">
        <v>83</v>
      </c>
      <c r="G405" t="s">
        <v>83</v>
      </c>
      <c r="H405" t="s">
        <v>1258</v>
      </c>
      <c r="I405" t="s">
        <v>1410</v>
      </c>
      <c r="J405" s="3" t="s">
        <v>1411</v>
      </c>
      <c r="K405" s="3"/>
      <c r="L405" s="3" t="s">
        <v>1375</v>
      </c>
      <c r="M405" s="3">
        <v>46253</v>
      </c>
      <c r="N405" s="4">
        <v>3087500</v>
      </c>
      <c r="O405" s="3" t="s">
        <v>1376</v>
      </c>
      <c r="P405" s="3">
        <v>257189</v>
      </c>
      <c r="Q405" s="4">
        <v>257189</v>
      </c>
      <c r="R405" s="3" t="s">
        <v>1268</v>
      </c>
      <c r="S405" s="3" t="s">
        <v>19</v>
      </c>
      <c r="T405" s="3" t="s">
        <v>19</v>
      </c>
      <c r="U405" s="3"/>
    </row>
    <row r="406" spans="1:21">
      <c r="A406">
        <v>3454</v>
      </c>
      <c r="B406" t="s">
        <v>12</v>
      </c>
      <c r="C406" t="s">
        <v>12</v>
      </c>
      <c r="D406" t="s">
        <v>75</v>
      </c>
      <c r="E406" t="s">
        <v>75</v>
      </c>
      <c r="F406" t="s">
        <v>83</v>
      </c>
      <c r="G406" t="s">
        <v>83</v>
      </c>
      <c r="H406" t="s">
        <v>1258</v>
      </c>
      <c r="I406" t="s">
        <v>1412</v>
      </c>
      <c r="J406" s="3" t="s">
        <v>1413</v>
      </c>
      <c r="K406" s="3"/>
      <c r="L406" s="3" t="s">
        <v>591</v>
      </c>
      <c r="M406" s="3">
        <v>46239</v>
      </c>
      <c r="N406" s="4">
        <v>1241500</v>
      </c>
      <c r="O406" s="3" t="s">
        <v>1397</v>
      </c>
      <c r="P406" s="3">
        <v>103417</v>
      </c>
      <c r="Q406" s="4">
        <v>103417</v>
      </c>
      <c r="R406" s="3" t="s">
        <v>1268</v>
      </c>
      <c r="S406" s="3" t="s">
        <v>19</v>
      </c>
      <c r="T406" s="3" t="s">
        <v>19</v>
      </c>
      <c r="U406" s="3"/>
    </row>
    <row r="407" spans="1:21">
      <c r="A407">
        <v>3203</v>
      </c>
      <c r="B407" t="s">
        <v>12</v>
      </c>
      <c r="C407" t="s">
        <v>12</v>
      </c>
      <c r="D407" t="s">
        <v>75</v>
      </c>
      <c r="E407" t="s">
        <v>75</v>
      </c>
      <c r="F407" t="s">
        <v>83</v>
      </c>
      <c r="G407" t="s">
        <v>83</v>
      </c>
      <c r="H407" t="s">
        <v>1258</v>
      </c>
      <c r="I407" t="s">
        <v>1414</v>
      </c>
      <c r="J407" s="3" t="s">
        <v>1270</v>
      </c>
      <c r="K407" s="3"/>
      <c r="L407" s="3" t="s">
        <v>1415</v>
      </c>
      <c r="M407" s="3">
        <v>46127</v>
      </c>
      <c r="N407" s="4">
        <v>2101000</v>
      </c>
      <c r="O407" s="3" t="s">
        <v>1272</v>
      </c>
      <c r="P407" s="3">
        <v>210100</v>
      </c>
      <c r="Q407" s="4">
        <v>210100</v>
      </c>
      <c r="R407" s="3" t="s">
        <v>1273</v>
      </c>
      <c r="S407" s="3" t="s">
        <v>4</v>
      </c>
      <c r="T407" s="3" t="s">
        <v>4</v>
      </c>
      <c r="U407" s="3"/>
    </row>
    <row r="408" spans="1:21">
      <c r="A408">
        <v>3228</v>
      </c>
      <c r="B408" t="s">
        <v>12</v>
      </c>
      <c r="C408" t="s">
        <v>12</v>
      </c>
      <c r="D408" t="s">
        <v>75</v>
      </c>
      <c r="E408" t="s">
        <v>75</v>
      </c>
      <c r="F408" t="s">
        <v>84</v>
      </c>
      <c r="G408" t="s">
        <v>84</v>
      </c>
      <c r="H408" t="s">
        <v>1258</v>
      </c>
      <c r="I408" t="s">
        <v>1416</v>
      </c>
      <c r="J408" s="3" t="s">
        <v>1417</v>
      </c>
      <c r="K408" s="3"/>
      <c r="L408" s="3" t="s">
        <v>8</v>
      </c>
      <c r="M408" s="3">
        <v>46127</v>
      </c>
      <c r="N408" s="4">
        <v>2387500</v>
      </c>
      <c r="O408" s="3" t="s">
        <v>1272</v>
      </c>
      <c r="P408" s="3">
        <v>238750</v>
      </c>
      <c r="Q408" s="4">
        <v>238750</v>
      </c>
      <c r="R408" s="3" t="s">
        <v>1273</v>
      </c>
      <c r="S408" s="3" t="s">
        <v>4</v>
      </c>
      <c r="T408" s="3" t="s">
        <v>4</v>
      </c>
      <c r="U408" s="3"/>
    </row>
    <row r="409" spans="1:21">
      <c r="A409">
        <v>3017</v>
      </c>
      <c r="B409" t="s">
        <v>12</v>
      </c>
      <c r="C409" t="s">
        <v>12</v>
      </c>
      <c r="D409" t="s">
        <v>75</v>
      </c>
      <c r="E409" t="s">
        <v>75</v>
      </c>
      <c r="F409" t="s">
        <v>85</v>
      </c>
      <c r="G409" t="s">
        <v>85</v>
      </c>
      <c r="H409" t="s">
        <v>1258</v>
      </c>
      <c r="I409" t="s">
        <v>1418</v>
      </c>
      <c r="J409" s="3" t="s">
        <v>1419</v>
      </c>
      <c r="K409" s="3"/>
      <c r="L409" s="3" t="s">
        <v>1420</v>
      </c>
      <c r="M409" s="3">
        <v>46029</v>
      </c>
      <c r="N409" s="4">
        <v>1480250</v>
      </c>
      <c r="O409" s="3" t="s">
        <v>1391</v>
      </c>
      <c r="P409" s="3">
        <v>148025</v>
      </c>
      <c r="Q409" s="4">
        <v>148025</v>
      </c>
      <c r="R409" s="3" t="s">
        <v>1392</v>
      </c>
      <c r="S409" s="3" t="s">
        <v>4</v>
      </c>
      <c r="T409" s="3" t="s">
        <v>4</v>
      </c>
      <c r="U409" s="3"/>
    </row>
    <row r="410" spans="1:21">
      <c r="A410">
        <v>3399</v>
      </c>
      <c r="B410" t="s">
        <v>12</v>
      </c>
      <c r="C410" t="s">
        <v>12</v>
      </c>
      <c r="D410" t="s">
        <v>75</v>
      </c>
      <c r="E410" t="s">
        <v>75</v>
      </c>
      <c r="F410" t="s">
        <v>86</v>
      </c>
      <c r="G410" t="s">
        <v>86</v>
      </c>
      <c r="H410" t="s">
        <v>1327</v>
      </c>
      <c r="I410" t="s">
        <v>1421</v>
      </c>
      <c r="J410" s="3" t="s">
        <v>1422</v>
      </c>
      <c r="K410" s="3"/>
      <c r="L410" s="3" t="s">
        <v>954</v>
      </c>
      <c r="M410" s="3">
        <v>46213</v>
      </c>
      <c r="N410" s="4" t="s">
        <v>1423</v>
      </c>
      <c r="O410" s="3" t="s">
        <v>1424</v>
      </c>
      <c r="P410" s="3">
        <v>98507.91</v>
      </c>
      <c r="Q410" s="4">
        <v>98507.91</v>
      </c>
      <c r="R410" s="3" t="s">
        <v>341</v>
      </c>
      <c r="S410" s="3" t="s">
        <v>4</v>
      </c>
      <c r="T410" s="3" t="s">
        <v>4</v>
      </c>
      <c r="U410" s="3"/>
    </row>
    <row r="411" spans="1:21">
      <c r="A411">
        <v>3493</v>
      </c>
      <c r="B411" t="s">
        <v>12</v>
      </c>
      <c r="C411" t="s">
        <v>12</v>
      </c>
      <c r="D411" t="s">
        <v>75</v>
      </c>
      <c r="E411" t="s">
        <v>75</v>
      </c>
      <c r="F411" t="s">
        <v>86</v>
      </c>
      <c r="G411" t="s">
        <v>86</v>
      </c>
      <c r="H411" t="s">
        <v>1327</v>
      </c>
      <c r="I411" t="s">
        <v>1425</v>
      </c>
      <c r="J411" s="3" t="s">
        <v>1426</v>
      </c>
      <c r="K411" s="3"/>
      <c r="L411" s="3" t="s">
        <v>12</v>
      </c>
      <c r="M411" s="3">
        <v>46258</v>
      </c>
      <c r="N411" s="4">
        <v>650000</v>
      </c>
      <c r="O411" s="3"/>
      <c r="P411" s="3">
        <v>55000</v>
      </c>
      <c r="Q411" s="4">
        <v>55000</v>
      </c>
      <c r="R411" s="3"/>
      <c r="S411" s="3" t="s">
        <v>20</v>
      </c>
      <c r="T411" s="3" t="s">
        <v>20</v>
      </c>
      <c r="U411" s="3"/>
    </row>
    <row r="412" spans="1:21">
      <c r="A412">
        <v>3035</v>
      </c>
      <c r="B412" t="s">
        <v>12</v>
      </c>
      <c r="C412" t="s">
        <v>12</v>
      </c>
      <c r="D412" t="s">
        <v>75</v>
      </c>
      <c r="E412" t="s">
        <v>75</v>
      </c>
      <c r="F412" t="s">
        <v>86</v>
      </c>
      <c r="G412" t="s">
        <v>86</v>
      </c>
      <c r="H412" t="s">
        <v>1327</v>
      </c>
      <c r="I412" t="s">
        <v>1427</v>
      </c>
      <c r="J412" s="3" t="s">
        <v>1337</v>
      </c>
      <c r="K412" s="3">
        <v>1</v>
      </c>
      <c r="L412" s="3" t="s">
        <v>1428</v>
      </c>
      <c r="M412" s="3" t="s">
        <v>1429</v>
      </c>
      <c r="N412" s="4">
        <v>1201200</v>
      </c>
      <c r="O412" s="3" t="s">
        <v>1430</v>
      </c>
      <c r="P412" s="3">
        <v>100059.95999999999</v>
      </c>
      <c r="Q412" s="4">
        <v>100059.95999999999</v>
      </c>
      <c r="R412" s="3" t="s">
        <v>880</v>
      </c>
      <c r="S412" s="3" t="s">
        <v>4</v>
      </c>
      <c r="T412" s="3" t="s">
        <v>4</v>
      </c>
      <c r="U412" s="3"/>
    </row>
    <row r="413" spans="1:21">
      <c r="A413">
        <v>3409</v>
      </c>
      <c r="B413" t="s">
        <v>12</v>
      </c>
      <c r="C413" t="s">
        <v>12</v>
      </c>
      <c r="D413" t="s">
        <v>75</v>
      </c>
      <c r="E413" t="s">
        <v>75</v>
      </c>
      <c r="F413" t="s">
        <v>86</v>
      </c>
      <c r="G413" t="s">
        <v>86</v>
      </c>
      <c r="H413" t="s">
        <v>1327</v>
      </c>
      <c r="I413" t="s">
        <v>1431</v>
      </c>
      <c r="J413" s="3" t="s">
        <v>1432</v>
      </c>
      <c r="K413" s="3"/>
      <c r="L413" s="3" t="s">
        <v>1433</v>
      </c>
      <c r="M413" s="3">
        <v>46218</v>
      </c>
      <c r="N413" s="4" t="s">
        <v>1434</v>
      </c>
      <c r="O413" s="3" t="s">
        <v>1342</v>
      </c>
      <c r="P413" s="3">
        <v>62696.160000000003</v>
      </c>
      <c r="Q413" s="4">
        <v>62696.160000000003</v>
      </c>
      <c r="R413" s="3" t="s">
        <v>341</v>
      </c>
      <c r="S413" s="3" t="s">
        <v>4</v>
      </c>
      <c r="T413" s="3" t="s">
        <v>4</v>
      </c>
      <c r="U413" s="3"/>
    </row>
    <row r="414" spans="1:21">
      <c r="A414">
        <v>3540</v>
      </c>
      <c r="B414" t="s">
        <v>12</v>
      </c>
      <c r="C414" t="s">
        <v>12</v>
      </c>
      <c r="D414" t="s">
        <v>75</v>
      </c>
      <c r="E414" t="s">
        <v>75</v>
      </c>
      <c r="F414" t="s">
        <v>86</v>
      </c>
      <c r="G414" t="s">
        <v>86</v>
      </c>
      <c r="H414" t="s">
        <v>1327</v>
      </c>
      <c r="I414" t="s">
        <v>1435</v>
      </c>
      <c r="J414" s="3" t="s">
        <v>1436</v>
      </c>
      <c r="K414" s="3"/>
      <c r="L414" s="3" t="s">
        <v>166</v>
      </c>
      <c r="M414" s="3">
        <v>46279</v>
      </c>
      <c r="N414" s="4">
        <v>1300000</v>
      </c>
      <c r="O414" s="3"/>
      <c r="P414" s="3">
        <v>100000</v>
      </c>
      <c r="Q414" s="4">
        <v>100000</v>
      </c>
      <c r="R414" s="3"/>
      <c r="S414" s="3" t="s">
        <v>20</v>
      </c>
      <c r="T414" s="3" t="s">
        <v>20</v>
      </c>
      <c r="U414" s="3"/>
    </row>
    <row r="415" spans="1:21">
      <c r="A415">
        <v>3415</v>
      </c>
      <c r="B415" t="s">
        <v>12</v>
      </c>
      <c r="C415" t="s">
        <v>12</v>
      </c>
      <c r="D415" t="s">
        <v>75</v>
      </c>
      <c r="E415" t="s">
        <v>75</v>
      </c>
      <c r="F415" t="s">
        <v>86</v>
      </c>
      <c r="G415" t="s">
        <v>86</v>
      </c>
      <c r="H415" t="s">
        <v>1327</v>
      </c>
      <c r="I415" t="s">
        <v>1437</v>
      </c>
      <c r="J415" s="3" t="s">
        <v>1438</v>
      </c>
      <c r="K415" s="3"/>
      <c r="L415" s="3" t="s">
        <v>207</v>
      </c>
      <c r="M415" s="3">
        <v>46223</v>
      </c>
      <c r="N415" s="4" t="s">
        <v>1439</v>
      </c>
      <c r="O415" s="3" t="s">
        <v>1351</v>
      </c>
      <c r="P415" s="3">
        <v>97414.43</v>
      </c>
      <c r="Q415" s="4">
        <v>97414.43</v>
      </c>
      <c r="R415" s="3" t="s">
        <v>341</v>
      </c>
      <c r="S415" s="3" t="s">
        <v>4</v>
      </c>
      <c r="T415" s="3" t="s">
        <v>4</v>
      </c>
      <c r="U415" s="3"/>
    </row>
    <row r="416" spans="1:21">
      <c r="A416">
        <v>3404</v>
      </c>
      <c r="B416" t="s">
        <v>12</v>
      </c>
      <c r="C416" t="s">
        <v>12</v>
      </c>
      <c r="D416" t="s">
        <v>75</v>
      </c>
      <c r="E416" t="s">
        <v>75</v>
      </c>
      <c r="F416" t="s">
        <v>86</v>
      </c>
      <c r="G416" t="s">
        <v>86</v>
      </c>
      <c r="H416" t="s">
        <v>1327</v>
      </c>
      <c r="I416" t="s">
        <v>1440</v>
      </c>
      <c r="J416" s="3" t="s">
        <v>1441</v>
      </c>
      <c r="K416" s="3"/>
      <c r="L416" s="3" t="s">
        <v>12</v>
      </c>
      <c r="M416" s="3">
        <v>46216</v>
      </c>
      <c r="N416" s="4" t="s">
        <v>1442</v>
      </c>
      <c r="O416" s="3" t="s">
        <v>1342</v>
      </c>
      <c r="P416" s="3">
        <v>99960</v>
      </c>
      <c r="Q416" s="4">
        <v>99960</v>
      </c>
      <c r="R416" s="3" t="s">
        <v>341</v>
      </c>
      <c r="S416" s="3" t="s">
        <v>4</v>
      </c>
      <c r="T416" s="3" t="s">
        <v>4</v>
      </c>
      <c r="U416" s="3"/>
    </row>
    <row r="417" spans="1:21">
      <c r="A417">
        <v>3386</v>
      </c>
      <c r="B417" t="s">
        <v>12</v>
      </c>
      <c r="C417" t="s">
        <v>12</v>
      </c>
      <c r="D417" t="s">
        <v>75</v>
      </c>
      <c r="E417" t="s">
        <v>75</v>
      </c>
      <c r="F417" t="s">
        <v>86</v>
      </c>
      <c r="G417" t="s">
        <v>86</v>
      </c>
      <c r="H417" t="s">
        <v>1327</v>
      </c>
      <c r="I417" t="s">
        <v>1443</v>
      </c>
      <c r="J417" s="3" t="s">
        <v>1444</v>
      </c>
      <c r="K417" s="3"/>
      <c r="L417" s="3" t="s">
        <v>12</v>
      </c>
      <c r="M417" s="3">
        <v>46204</v>
      </c>
      <c r="N417" s="4" t="s">
        <v>1445</v>
      </c>
      <c r="O417" s="3" t="s">
        <v>1424</v>
      </c>
      <c r="P417" s="3">
        <v>81621.09</v>
      </c>
      <c r="Q417" s="4">
        <v>81621.09</v>
      </c>
      <c r="R417" s="3" t="s">
        <v>341</v>
      </c>
      <c r="S417" s="3" t="s">
        <v>4</v>
      </c>
      <c r="T417" s="3" t="s">
        <v>4</v>
      </c>
      <c r="U417" s="3"/>
    </row>
    <row r="418" spans="1:21">
      <c r="A418">
        <v>3397</v>
      </c>
      <c r="B418" t="s">
        <v>12</v>
      </c>
      <c r="C418" t="s">
        <v>12</v>
      </c>
      <c r="D418" t="s">
        <v>75</v>
      </c>
      <c r="E418" t="s">
        <v>75</v>
      </c>
      <c r="F418" t="s">
        <v>86</v>
      </c>
      <c r="G418" t="s">
        <v>86</v>
      </c>
      <c r="H418" t="s">
        <v>1327</v>
      </c>
      <c r="I418" t="s">
        <v>1446</v>
      </c>
      <c r="J418" s="3" t="s">
        <v>1447</v>
      </c>
      <c r="K418" s="3"/>
      <c r="L418" s="3" t="s">
        <v>12</v>
      </c>
      <c r="M418" s="3">
        <v>46210</v>
      </c>
      <c r="N418" s="4" t="s">
        <v>1448</v>
      </c>
      <c r="O418" s="3" t="s">
        <v>1449</v>
      </c>
      <c r="P418" s="3" t="s">
        <v>1450</v>
      </c>
      <c r="Q418" s="4">
        <v>120819.15</v>
      </c>
      <c r="R418" s="3" t="s">
        <v>341</v>
      </c>
      <c r="S418" s="3" t="s">
        <v>4</v>
      </c>
      <c r="T418" s="3" t="s">
        <v>4</v>
      </c>
      <c r="U418" s="3"/>
    </row>
    <row r="419" spans="1:21" ht="27.6">
      <c r="A419">
        <v>3426</v>
      </c>
      <c r="B419" t="s">
        <v>12</v>
      </c>
      <c r="C419" t="s">
        <v>12</v>
      </c>
      <c r="D419" t="s">
        <v>75</v>
      </c>
      <c r="E419" t="s">
        <v>75</v>
      </c>
      <c r="F419" t="s">
        <v>86</v>
      </c>
      <c r="G419" t="s">
        <v>86</v>
      </c>
      <c r="H419" t="s">
        <v>1327</v>
      </c>
      <c r="I419" t="s">
        <v>1451</v>
      </c>
      <c r="J419" s="3" t="s">
        <v>1452</v>
      </c>
      <c r="K419" s="3"/>
      <c r="L419" s="3" t="s">
        <v>1453</v>
      </c>
      <c r="M419" s="3">
        <v>46230</v>
      </c>
      <c r="N419" s="4">
        <v>1200000</v>
      </c>
      <c r="O419" s="3"/>
      <c r="P419" s="3">
        <v>100000</v>
      </c>
      <c r="Q419" s="4">
        <v>100000</v>
      </c>
      <c r="R419" s="3"/>
      <c r="S419" s="3" t="s">
        <v>20</v>
      </c>
      <c r="T419" s="3" t="s">
        <v>20</v>
      </c>
      <c r="U419" s="3"/>
    </row>
    <row r="420" spans="1:21">
      <c r="A420">
        <v>3029</v>
      </c>
      <c r="B420" t="s">
        <v>12</v>
      </c>
      <c r="C420" t="s">
        <v>12</v>
      </c>
      <c r="D420" t="s">
        <v>75</v>
      </c>
      <c r="E420" t="s">
        <v>75</v>
      </c>
      <c r="F420" t="s">
        <v>86</v>
      </c>
      <c r="G420" t="s">
        <v>86</v>
      </c>
      <c r="H420" t="s">
        <v>1327</v>
      </c>
      <c r="I420" t="s">
        <v>1454</v>
      </c>
      <c r="J420" s="3" t="s">
        <v>1203</v>
      </c>
      <c r="K420" s="3"/>
      <c r="L420" s="3" t="s">
        <v>12</v>
      </c>
      <c r="M420" s="3" t="s">
        <v>1379</v>
      </c>
      <c r="N420" s="4">
        <v>1217871</v>
      </c>
      <c r="O420" s="3" t="s">
        <v>1455</v>
      </c>
      <c r="P420" s="3">
        <v>101448.65429999999</v>
      </c>
      <c r="Q420" s="4">
        <v>101448.65429999999</v>
      </c>
      <c r="R420" s="3" t="s">
        <v>787</v>
      </c>
      <c r="S420" s="3" t="s">
        <v>4</v>
      </c>
      <c r="T420" s="3" t="s">
        <v>4</v>
      </c>
      <c r="U420" s="3"/>
    </row>
    <row r="421" spans="1:21">
      <c r="A421">
        <v>3094</v>
      </c>
      <c r="B421" t="s">
        <v>12</v>
      </c>
      <c r="C421" t="s">
        <v>12</v>
      </c>
      <c r="D421" t="s">
        <v>75</v>
      </c>
      <c r="E421" t="s">
        <v>75</v>
      </c>
      <c r="F421" t="s">
        <v>87</v>
      </c>
      <c r="G421" t="s">
        <v>87</v>
      </c>
      <c r="H421" t="s">
        <v>1327</v>
      </c>
      <c r="I421" t="s">
        <v>1259</v>
      </c>
      <c r="J421" s="3" t="s">
        <v>1456</v>
      </c>
      <c r="K421" s="3"/>
      <c r="L421" s="3" t="s">
        <v>12</v>
      </c>
      <c r="M421" s="3" t="s">
        <v>631</v>
      </c>
      <c r="N421" s="4">
        <v>655624</v>
      </c>
      <c r="O421" s="3" t="s">
        <v>1335</v>
      </c>
      <c r="P421" s="3">
        <v>54613.479200000002</v>
      </c>
      <c r="Q421" s="4">
        <v>54613.479200000002</v>
      </c>
      <c r="R421" s="3" t="s">
        <v>285</v>
      </c>
      <c r="S421" s="3" t="s">
        <v>4</v>
      </c>
      <c r="T421" s="3" t="s">
        <v>4</v>
      </c>
      <c r="U421" s="3"/>
    </row>
    <row r="422" spans="1:21">
      <c r="A422">
        <v>3231</v>
      </c>
      <c r="B422" t="s">
        <v>12</v>
      </c>
      <c r="C422" t="s">
        <v>12</v>
      </c>
      <c r="D422" t="s">
        <v>75</v>
      </c>
      <c r="E422" t="s">
        <v>75</v>
      </c>
      <c r="F422" t="s">
        <v>87</v>
      </c>
      <c r="G422" t="s">
        <v>87</v>
      </c>
      <c r="H422" t="s">
        <v>1327</v>
      </c>
      <c r="I422" t="s">
        <v>1457</v>
      </c>
      <c r="J422" s="3" t="s">
        <v>1458</v>
      </c>
      <c r="K422" s="3"/>
      <c r="L422" s="3" t="s">
        <v>327</v>
      </c>
      <c r="M422" s="3">
        <v>46129</v>
      </c>
      <c r="N422" s="4">
        <v>831363</v>
      </c>
      <c r="O422" s="3" t="s">
        <v>1459</v>
      </c>
      <c r="P422" s="3">
        <v>75000</v>
      </c>
      <c r="Q422" s="4">
        <v>75000</v>
      </c>
      <c r="R422" s="3" t="s">
        <v>1365</v>
      </c>
      <c r="S422" s="3" t="s">
        <v>4</v>
      </c>
      <c r="T422" s="3" t="s">
        <v>4</v>
      </c>
      <c r="U422" s="3"/>
    </row>
    <row r="423" spans="1:21">
      <c r="A423">
        <v>3467</v>
      </c>
      <c r="B423" t="s">
        <v>12</v>
      </c>
      <c r="C423" t="s">
        <v>12</v>
      </c>
      <c r="D423" t="s">
        <v>75</v>
      </c>
      <c r="E423" t="s">
        <v>75</v>
      </c>
      <c r="F423" t="s">
        <v>87</v>
      </c>
      <c r="G423" t="s">
        <v>87</v>
      </c>
      <c r="H423" t="s">
        <v>1327</v>
      </c>
      <c r="I423" t="s">
        <v>1460</v>
      </c>
      <c r="J423" s="3" t="s">
        <v>1461</v>
      </c>
      <c r="K423" s="3"/>
      <c r="L423" s="3" t="s">
        <v>602</v>
      </c>
      <c r="M423" s="3">
        <v>46251</v>
      </c>
      <c r="N423" s="4">
        <v>800000</v>
      </c>
      <c r="O423" s="3"/>
      <c r="P423" s="3">
        <v>66000</v>
      </c>
      <c r="Q423" s="4">
        <v>66000</v>
      </c>
      <c r="R423" s="3"/>
      <c r="S423" s="3" t="s">
        <v>20</v>
      </c>
      <c r="T423" s="3" t="s">
        <v>20</v>
      </c>
      <c r="U423" s="3"/>
    </row>
    <row r="424" spans="1:21">
      <c r="A424">
        <v>3083</v>
      </c>
      <c r="B424" t="s">
        <v>12</v>
      </c>
      <c r="C424" t="s">
        <v>12</v>
      </c>
      <c r="D424" t="s">
        <v>75</v>
      </c>
      <c r="E424" t="s">
        <v>75</v>
      </c>
      <c r="F424" t="s">
        <v>87</v>
      </c>
      <c r="G424" t="s">
        <v>87</v>
      </c>
      <c r="H424" t="s">
        <v>1327</v>
      </c>
      <c r="I424" t="s">
        <v>1462</v>
      </c>
      <c r="J424" s="3" t="s">
        <v>1458</v>
      </c>
      <c r="K424" s="3"/>
      <c r="L424" s="3" t="s">
        <v>1463</v>
      </c>
      <c r="M424" s="3">
        <v>46076</v>
      </c>
      <c r="N424" s="4">
        <v>1257584</v>
      </c>
      <c r="O424" s="3" t="s">
        <v>1464</v>
      </c>
      <c r="P424" s="3">
        <v>104756.7472</v>
      </c>
      <c r="Q424" s="4">
        <v>104756.7472</v>
      </c>
      <c r="R424" s="3" t="s">
        <v>654</v>
      </c>
      <c r="S424" s="3" t="s">
        <v>4</v>
      </c>
      <c r="T424" s="3" t="s">
        <v>4</v>
      </c>
      <c r="U424" s="3"/>
    </row>
    <row r="425" spans="1:21">
      <c r="A425">
        <v>3154</v>
      </c>
      <c r="B425" t="s">
        <v>12</v>
      </c>
      <c r="C425" t="s">
        <v>12</v>
      </c>
      <c r="D425" t="s">
        <v>75</v>
      </c>
      <c r="E425" t="s">
        <v>75</v>
      </c>
      <c r="F425" t="s">
        <v>87</v>
      </c>
      <c r="G425" t="s">
        <v>87</v>
      </c>
      <c r="H425" t="s">
        <v>1327</v>
      </c>
      <c r="I425" t="s">
        <v>1465</v>
      </c>
      <c r="J425" s="3" t="s">
        <v>1466</v>
      </c>
      <c r="K425" s="3"/>
      <c r="L425" s="3" t="s">
        <v>1467</v>
      </c>
      <c r="M425" s="3" t="s">
        <v>932</v>
      </c>
      <c r="N425" s="4">
        <v>1279728</v>
      </c>
      <c r="O425" s="3" t="s">
        <v>1455</v>
      </c>
      <c r="P425" s="3">
        <v>106601.34239999999</v>
      </c>
      <c r="Q425" s="4">
        <v>106601.34239999999</v>
      </c>
      <c r="R425" s="3" t="s">
        <v>787</v>
      </c>
      <c r="S425" s="3" t="s">
        <v>4</v>
      </c>
      <c r="T425" s="3" t="s">
        <v>4</v>
      </c>
      <c r="U425" s="3"/>
    </row>
    <row r="426" spans="1:21">
      <c r="A426">
        <v>3527</v>
      </c>
      <c r="B426" t="s">
        <v>12</v>
      </c>
      <c r="C426" t="s">
        <v>12</v>
      </c>
      <c r="D426" t="s">
        <v>75</v>
      </c>
      <c r="E426" t="s">
        <v>75</v>
      </c>
      <c r="F426" t="s">
        <v>87</v>
      </c>
      <c r="G426" t="s">
        <v>87</v>
      </c>
      <c r="H426" t="s">
        <v>1327</v>
      </c>
      <c r="I426" t="s">
        <v>1468</v>
      </c>
      <c r="J426" s="3" t="s">
        <v>1432</v>
      </c>
      <c r="K426" s="3"/>
      <c r="L426" s="3" t="s">
        <v>127</v>
      </c>
      <c r="M426" s="3">
        <v>46272</v>
      </c>
      <c r="N426" s="4">
        <v>650000</v>
      </c>
      <c r="O426" s="3"/>
      <c r="P426" s="3">
        <v>54000</v>
      </c>
      <c r="Q426" s="4">
        <v>54000</v>
      </c>
      <c r="R426" s="3"/>
      <c r="S426" s="3" t="s">
        <v>20</v>
      </c>
      <c r="T426" s="3" t="s">
        <v>20</v>
      </c>
      <c r="U426" s="3"/>
    </row>
    <row r="427" spans="1:21">
      <c r="A427">
        <v>3011</v>
      </c>
      <c r="B427" t="s">
        <v>12</v>
      </c>
      <c r="C427" t="s">
        <v>12</v>
      </c>
      <c r="D427" t="s">
        <v>75</v>
      </c>
      <c r="E427" t="s">
        <v>75</v>
      </c>
      <c r="F427" t="s">
        <v>88</v>
      </c>
      <c r="G427" t="s">
        <v>88</v>
      </c>
      <c r="H427" t="s">
        <v>1283</v>
      </c>
      <c r="I427" t="s">
        <v>1469</v>
      </c>
      <c r="J427" s="3" t="s">
        <v>1470</v>
      </c>
      <c r="K427" s="3"/>
      <c r="L427" s="3" t="s">
        <v>12</v>
      </c>
      <c r="M427" s="3">
        <v>46027</v>
      </c>
      <c r="N427" s="4">
        <v>500000</v>
      </c>
      <c r="O427" s="3" t="s">
        <v>1471</v>
      </c>
      <c r="P427" s="3">
        <v>45131.94</v>
      </c>
      <c r="Q427" s="4">
        <v>45131.94</v>
      </c>
      <c r="R427" s="3" t="s">
        <v>1379</v>
      </c>
      <c r="S427" s="3" t="s">
        <v>4</v>
      </c>
      <c r="T427" s="3" t="s">
        <v>4</v>
      </c>
      <c r="U427" s="3"/>
    </row>
    <row r="428" spans="1:21">
      <c r="A428">
        <v>3048</v>
      </c>
      <c r="B428" t="s">
        <v>12</v>
      </c>
      <c r="C428" t="s">
        <v>12</v>
      </c>
      <c r="D428" t="s">
        <v>75</v>
      </c>
      <c r="E428" t="s">
        <v>75</v>
      </c>
      <c r="F428" t="s">
        <v>88</v>
      </c>
      <c r="G428" t="s">
        <v>88</v>
      </c>
      <c r="H428" t="s">
        <v>1283</v>
      </c>
      <c r="I428" t="s">
        <v>1472</v>
      </c>
      <c r="J428" s="3" t="s">
        <v>1473</v>
      </c>
      <c r="K428" s="3"/>
      <c r="L428" s="3" t="s">
        <v>12</v>
      </c>
      <c r="M428" s="3">
        <v>46051</v>
      </c>
      <c r="N428" s="4">
        <v>1800000</v>
      </c>
      <c r="O428" s="3"/>
      <c r="P428" s="3">
        <v>0</v>
      </c>
      <c r="Q428" s="4">
        <v>0</v>
      </c>
      <c r="R428" s="3"/>
      <c r="S428" s="3" t="s">
        <v>21</v>
      </c>
      <c r="T428" s="3" t="s">
        <v>21</v>
      </c>
      <c r="U428" s="3"/>
    </row>
    <row r="429" spans="1:21">
      <c r="A429">
        <v>3079</v>
      </c>
      <c r="B429" t="s">
        <v>12</v>
      </c>
      <c r="C429" t="s">
        <v>12</v>
      </c>
      <c r="D429" t="s">
        <v>75</v>
      </c>
      <c r="E429" t="s">
        <v>75</v>
      </c>
      <c r="F429" t="s">
        <v>89</v>
      </c>
      <c r="G429" t="s">
        <v>89</v>
      </c>
      <c r="H429" t="s">
        <v>1261</v>
      </c>
      <c r="I429" t="s">
        <v>1474</v>
      </c>
      <c r="J429" s="3" t="s">
        <v>1475</v>
      </c>
      <c r="K429" s="3"/>
      <c r="L429" s="3" t="s">
        <v>597</v>
      </c>
      <c r="M429" s="3">
        <v>46076</v>
      </c>
      <c r="N429" s="4">
        <v>650000</v>
      </c>
      <c r="O429" s="3"/>
      <c r="P429" s="3">
        <v>0</v>
      </c>
      <c r="Q429" s="4">
        <v>0</v>
      </c>
      <c r="R429" s="3"/>
      <c r="S429" s="3" t="s">
        <v>21</v>
      </c>
      <c r="T429" s="3" t="s">
        <v>21</v>
      </c>
      <c r="U429" s="3"/>
    </row>
    <row r="430" spans="1:21">
      <c r="A430">
        <v>3152</v>
      </c>
      <c r="B430" t="s">
        <v>12</v>
      </c>
      <c r="C430" t="s">
        <v>12</v>
      </c>
      <c r="D430" t="s">
        <v>75</v>
      </c>
      <c r="E430" t="s">
        <v>75</v>
      </c>
      <c r="F430" t="s">
        <v>90</v>
      </c>
      <c r="G430" t="s">
        <v>90</v>
      </c>
      <c r="H430" t="s">
        <v>1476</v>
      </c>
      <c r="I430" t="s">
        <v>1477</v>
      </c>
      <c r="J430" s="3" t="s">
        <v>1478</v>
      </c>
      <c r="K430" s="3"/>
      <c r="L430" s="3" t="s">
        <v>1264</v>
      </c>
      <c r="M430" s="3">
        <v>46104</v>
      </c>
      <c r="N430" s="4">
        <v>640960</v>
      </c>
      <c r="O430" s="3" t="s">
        <v>1479</v>
      </c>
      <c r="P430" s="3">
        <v>53391.968000000001</v>
      </c>
      <c r="Q430" s="4">
        <v>53391.968000000001</v>
      </c>
      <c r="R430" s="3" t="s">
        <v>891</v>
      </c>
      <c r="S430" s="3" t="s">
        <v>4</v>
      </c>
      <c r="T430" s="3" t="s">
        <v>4</v>
      </c>
      <c r="U430" s="3"/>
    </row>
    <row r="431" spans="1:21">
      <c r="A431">
        <v>3196</v>
      </c>
      <c r="B431" t="s">
        <v>12</v>
      </c>
      <c r="C431" t="s">
        <v>12</v>
      </c>
      <c r="D431" t="s">
        <v>75</v>
      </c>
      <c r="E431" t="s">
        <v>75</v>
      </c>
      <c r="F431" t="s">
        <v>90</v>
      </c>
      <c r="G431" t="s">
        <v>90</v>
      </c>
      <c r="H431" t="s">
        <v>1480</v>
      </c>
      <c r="I431" t="s">
        <v>1481</v>
      </c>
      <c r="J431" s="3" t="s">
        <v>1482</v>
      </c>
      <c r="K431" s="3"/>
      <c r="L431" s="3" t="s">
        <v>166</v>
      </c>
      <c r="M431" s="3">
        <v>46121</v>
      </c>
      <c r="N431" s="4">
        <v>1896852</v>
      </c>
      <c r="O431" s="3" t="s">
        <v>1483</v>
      </c>
      <c r="P431" s="3">
        <v>158007.77160000001</v>
      </c>
      <c r="Q431" s="4">
        <v>158007.77160000001</v>
      </c>
      <c r="R431" s="3" t="s">
        <v>768</v>
      </c>
      <c r="S431" s="3" t="s">
        <v>19</v>
      </c>
      <c r="T431" s="3" t="s">
        <v>19</v>
      </c>
      <c r="U431" s="3"/>
    </row>
    <row r="432" spans="1:21">
      <c r="A432">
        <v>3524</v>
      </c>
      <c r="B432" t="s">
        <v>12</v>
      </c>
      <c r="C432" t="s">
        <v>12</v>
      </c>
      <c r="D432" t="s">
        <v>75</v>
      </c>
      <c r="E432" t="s">
        <v>75</v>
      </c>
      <c r="F432" t="s">
        <v>90</v>
      </c>
      <c r="G432" t="s">
        <v>90</v>
      </c>
      <c r="H432" t="s">
        <v>397</v>
      </c>
      <c r="I432" t="s">
        <v>1484</v>
      </c>
      <c r="J432" s="3" t="s">
        <v>1485</v>
      </c>
      <c r="K432" s="3"/>
      <c r="L432" s="3" t="s">
        <v>410</v>
      </c>
      <c r="M432" s="3">
        <v>46272</v>
      </c>
      <c r="N432" s="4">
        <v>3300000</v>
      </c>
      <c r="O432" s="3"/>
      <c r="P432" s="3">
        <v>275000</v>
      </c>
      <c r="Q432" s="4">
        <v>275000</v>
      </c>
      <c r="R432" s="3"/>
      <c r="S432" s="3" t="s">
        <v>20</v>
      </c>
      <c r="T432" s="3" t="s">
        <v>20</v>
      </c>
      <c r="U432" s="3"/>
    </row>
    <row r="433" spans="1:21">
      <c r="A433">
        <v>3523</v>
      </c>
      <c r="B433" t="s">
        <v>12</v>
      </c>
      <c r="C433" t="s">
        <v>12</v>
      </c>
      <c r="D433" t="s">
        <v>75</v>
      </c>
      <c r="E433" t="s">
        <v>75</v>
      </c>
      <c r="F433" t="s">
        <v>90</v>
      </c>
      <c r="G433" t="s">
        <v>90</v>
      </c>
      <c r="H433" t="s">
        <v>1486</v>
      </c>
      <c r="I433" t="s">
        <v>1487</v>
      </c>
      <c r="J433" s="3" t="s">
        <v>1488</v>
      </c>
      <c r="K433" s="3"/>
      <c r="L433" s="3" t="s">
        <v>12</v>
      </c>
      <c r="M433" s="3">
        <v>46272</v>
      </c>
      <c r="N433" s="4">
        <v>2300000</v>
      </c>
      <c r="O433" s="3"/>
      <c r="P433" s="3">
        <v>190000</v>
      </c>
      <c r="Q433" s="4">
        <v>190000</v>
      </c>
      <c r="R433" s="3"/>
      <c r="S433" s="3" t="s">
        <v>20</v>
      </c>
      <c r="T433" s="3" t="s">
        <v>20</v>
      </c>
      <c r="U433" s="3"/>
    </row>
    <row r="434" spans="1:21">
      <c r="A434">
        <v>3423</v>
      </c>
      <c r="B434" t="s">
        <v>12</v>
      </c>
      <c r="C434" t="s">
        <v>12</v>
      </c>
      <c r="D434" t="s">
        <v>75</v>
      </c>
      <c r="E434" t="s">
        <v>75</v>
      </c>
      <c r="F434" t="s">
        <v>90</v>
      </c>
      <c r="G434" t="s">
        <v>90</v>
      </c>
      <c r="H434" t="s">
        <v>1486</v>
      </c>
      <c r="I434" t="s">
        <v>1489</v>
      </c>
      <c r="J434" s="3" t="s">
        <v>1490</v>
      </c>
      <c r="K434" s="3"/>
      <c r="L434" s="3" t="s">
        <v>12</v>
      </c>
      <c r="M434" s="3">
        <v>46230</v>
      </c>
      <c r="N434" s="4" t="s">
        <v>1491</v>
      </c>
      <c r="O434" s="3" t="s">
        <v>1492</v>
      </c>
      <c r="P434" s="3" t="s">
        <v>1493</v>
      </c>
      <c r="Q434" s="4">
        <v>166600</v>
      </c>
      <c r="R434" s="3" t="s">
        <v>263</v>
      </c>
      <c r="S434" s="3" t="s">
        <v>4</v>
      </c>
      <c r="T434" s="3" t="s">
        <v>4</v>
      </c>
      <c r="U434" s="3"/>
    </row>
    <row r="435" spans="1:21">
      <c r="A435">
        <v>3500</v>
      </c>
      <c r="B435" t="s">
        <v>12</v>
      </c>
      <c r="C435" t="s">
        <v>12</v>
      </c>
      <c r="D435" t="s">
        <v>75</v>
      </c>
      <c r="E435" t="s">
        <v>75</v>
      </c>
      <c r="F435" t="s">
        <v>90</v>
      </c>
      <c r="G435" t="s">
        <v>90</v>
      </c>
      <c r="H435" t="s">
        <v>1486</v>
      </c>
      <c r="I435" t="s">
        <v>1305</v>
      </c>
      <c r="J435" s="3" t="s">
        <v>1494</v>
      </c>
      <c r="K435" s="3"/>
      <c r="L435" s="3" t="s">
        <v>12</v>
      </c>
      <c r="M435" s="3">
        <v>46260</v>
      </c>
      <c r="N435" s="4">
        <v>1900000</v>
      </c>
      <c r="O435" s="3"/>
      <c r="P435" s="3">
        <v>160000</v>
      </c>
      <c r="Q435" s="4">
        <v>160000</v>
      </c>
      <c r="R435" s="3"/>
      <c r="S435" s="3" t="s">
        <v>20</v>
      </c>
      <c r="T435" s="3" t="s">
        <v>20</v>
      </c>
      <c r="U435" s="3"/>
    </row>
    <row r="436" spans="1:21">
      <c r="A436">
        <v>3301</v>
      </c>
      <c r="B436" t="s">
        <v>12</v>
      </c>
      <c r="C436" t="s">
        <v>12</v>
      </c>
      <c r="D436" t="s">
        <v>75</v>
      </c>
      <c r="E436" t="s">
        <v>75</v>
      </c>
      <c r="F436" t="s">
        <v>90</v>
      </c>
      <c r="G436" t="s">
        <v>90</v>
      </c>
      <c r="H436" t="s">
        <v>1289</v>
      </c>
      <c r="I436" t="s">
        <v>1495</v>
      </c>
      <c r="J436" s="3" t="s">
        <v>1496</v>
      </c>
      <c r="K436" s="3"/>
      <c r="L436" s="3" t="s">
        <v>166</v>
      </c>
      <c r="M436" s="3">
        <v>46167</v>
      </c>
      <c r="N436" s="4">
        <v>1300000</v>
      </c>
      <c r="O436" s="3"/>
      <c r="P436" s="3">
        <v>0</v>
      </c>
      <c r="Q436" s="4">
        <v>0</v>
      </c>
      <c r="R436" s="3"/>
      <c r="S436" s="3" t="s">
        <v>21</v>
      </c>
      <c r="T436" s="3" t="s">
        <v>21</v>
      </c>
      <c r="U436" s="3"/>
    </row>
    <row r="437" spans="1:21">
      <c r="A437">
        <v>3259</v>
      </c>
      <c r="B437" t="s">
        <v>12</v>
      </c>
      <c r="C437" t="s">
        <v>12</v>
      </c>
      <c r="D437" t="s">
        <v>75</v>
      </c>
      <c r="E437" t="s">
        <v>75</v>
      </c>
      <c r="F437" t="s">
        <v>90</v>
      </c>
      <c r="G437" t="s">
        <v>90</v>
      </c>
      <c r="H437" t="s">
        <v>1261</v>
      </c>
      <c r="I437" t="s">
        <v>1497</v>
      </c>
      <c r="J437" s="3" t="s">
        <v>1498</v>
      </c>
      <c r="K437" s="3"/>
      <c r="L437" s="3" t="s">
        <v>597</v>
      </c>
      <c r="M437" s="3">
        <v>46146</v>
      </c>
      <c r="N437" s="4">
        <v>600000</v>
      </c>
      <c r="O437" s="3" t="s">
        <v>1499</v>
      </c>
      <c r="P437" s="3">
        <v>49980</v>
      </c>
      <c r="Q437" s="4">
        <v>49980</v>
      </c>
      <c r="R437" s="3" t="s">
        <v>500</v>
      </c>
      <c r="S437" s="3" t="s">
        <v>19</v>
      </c>
      <c r="T437" s="3" t="s">
        <v>19</v>
      </c>
      <c r="U437" s="3"/>
    </row>
    <row r="438" spans="1:21">
      <c r="A438">
        <v>3297</v>
      </c>
      <c r="B438" t="s">
        <v>12</v>
      </c>
      <c r="C438" t="s">
        <v>12</v>
      </c>
      <c r="D438" t="s">
        <v>75</v>
      </c>
      <c r="E438" t="s">
        <v>75</v>
      </c>
      <c r="F438" t="s">
        <v>90</v>
      </c>
      <c r="G438" t="s">
        <v>90</v>
      </c>
      <c r="H438" t="s">
        <v>1261</v>
      </c>
      <c r="I438" t="s">
        <v>1500</v>
      </c>
      <c r="J438" s="3" t="s">
        <v>1308</v>
      </c>
      <c r="K438" s="3"/>
      <c r="L438" s="3" t="s">
        <v>597</v>
      </c>
      <c r="M438" s="3">
        <v>46160</v>
      </c>
      <c r="N438" s="4">
        <v>740000</v>
      </c>
      <c r="O438" s="3" t="s">
        <v>1300</v>
      </c>
      <c r="P438" s="3">
        <v>61642</v>
      </c>
      <c r="Q438" s="4">
        <v>61642</v>
      </c>
      <c r="R438" s="3" t="s">
        <v>307</v>
      </c>
      <c r="S438" s="3" t="s">
        <v>4</v>
      </c>
      <c r="T438" s="3" t="s">
        <v>4</v>
      </c>
      <c r="U438" s="3"/>
    </row>
    <row r="439" spans="1:21">
      <c r="A439">
        <v>3364</v>
      </c>
      <c r="B439" t="s">
        <v>12</v>
      </c>
      <c r="C439" t="s">
        <v>12</v>
      </c>
      <c r="D439" t="s">
        <v>75</v>
      </c>
      <c r="E439" t="s">
        <v>75</v>
      </c>
      <c r="F439" t="s">
        <v>90</v>
      </c>
      <c r="G439" t="s">
        <v>90</v>
      </c>
      <c r="H439" t="s">
        <v>1261</v>
      </c>
      <c r="I439" t="s">
        <v>1501</v>
      </c>
      <c r="J439" s="3" t="s">
        <v>1502</v>
      </c>
      <c r="K439" s="3"/>
      <c r="L439" s="3" t="s">
        <v>597</v>
      </c>
      <c r="M439" s="3">
        <v>46188</v>
      </c>
      <c r="N439" s="4">
        <v>640000</v>
      </c>
      <c r="O439" s="3" t="s">
        <v>1503</v>
      </c>
      <c r="P439" s="3">
        <v>53312</v>
      </c>
      <c r="Q439" s="4">
        <v>53312</v>
      </c>
      <c r="R439" s="3" t="s">
        <v>263</v>
      </c>
      <c r="S439" s="3" t="s">
        <v>19</v>
      </c>
      <c r="T439" s="3" t="s">
        <v>19</v>
      </c>
      <c r="U439" s="3"/>
    </row>
    <row r="440" spans="1:21">
      <c r="A440">
        <v>3229</v>
      </c>
      <c r="B440" t="s">
        <v>12</v>
      </c>
      <c r="C440" t="s">
        <v>12</v>
      </c>
      <c r="D440" t="s">
        <v>75</v>
      </c>
      <c r="E440" t="s">
        <v>75</v>
      </c>
      <c r="F440" t="s">
        <v>90</v>
      </c>
      <c r="G440" t="s">
        <v>90</v>
      </c>
      <c r="H440" t="s">
        <v>1261</v>
      </c>
      <c r="I440" t="s">
        <v>1504</v>
      </c>
      <c r="J440" s="3" t="s">
        <v>1505</v>
      </c>
      <c r="K440" s="3"/>
      <c r="L440" s="3" t="s">
        <v>597</v>
      </c>
      <c r="M440" s="3">
        <v>46129</v>
      </c>
      <c r="N440" s="4">
        <v>450000</v>
      </c>
      <c r="O440" s="3" t="s">
        <v>1300</v>
      </c>
      <c r="P440" s="3">
        <v>37485</v>
      </c>
      <c r="Q440" s="4">
        <v>37485</v>
      </c>
      <c r="R440" s="3" t="s">
        <v>307</v>
      </c>
      <c r="S440" s="3" t="s">
        <v>4</v>
      </c>
      <c r="T440" s="3" t="s">
        <v>4</v>
      </c>
      <c r="U440" s="3"/>
    </row>
    <row r="441" spans="1:21">
      <c r="A441">
        <v>3162</v>
      </c>
      <c r="B441" t="s">
        <v>12</v>
      </c>
      <c r="C441" t="s">
        <v>12</v>
      </c>
      <c r="D441" t="s">
        <v>75</v>
      </c>
      <c r="E441" t="s">
        <v>75</v>
      </c>
      <c r="F441" t="s">
        <v>90</v>
      </c>
      <c r="G441" t="s">
        <v>90</v>
      </c>
      <c r="H441" t="s">
        <v>1261</v>
      </c>
      <c r="I441" t="s">
        <v>1506</v>
      </c>
      <c r="J441" s="3" t="s">
        <v>1381</v>
      </c>
      <c r="K441" s="3"/>
      <c r="L441" s="3" t="s">
        <v>1369</v>
      </c>
      <c r="M441" s="3">
        <v>46111</v>
      </c>
      <c r="N441" s="4">
        <v>760000</v>
      </c>
      <c r="O441" s="3" t="s">
        <v>1300</v>
      </c>
      <c r="P441" s="3">
        <v>63308</v>
      </c>
      <c r="Q441" s="4">
        <v>63308</v>
      </c>
      <c r="R441" s="3" t="s">
        <v>307</v>
      </c>
      <c r="S441" s="3" t="s">
        <v>4</v>
      </c>
      <c r="T441" s="3" t="s">
        <v>4</v>
      </c>
      <c r="U441" s="3"/>
    </row>
    <row r="442" spans="1:21">
      <c r="A442">
        <v>3234</v>
      </c>
      <c r="B442" t="s">
        <v>12</v>
      </c>
      <c r="C442" t="s">
        <v>12</v>
      </c>
      <c r="D442" t="s">
        <v>75</v>
      </c>
      <c r="E442" t="s">
        <v>75</v>
      </c>
      <c r="F442" t="s">
        <v>90</v>
      </c>
      <c r="G442" t="s">
        <v>90</v>
      </c>
      <c r="H442" t="s">
        <v>1261</v>
      </c>
      <c r="I442" t="s">
        <v>1507</v>
      </c>
      <c r="J442" s="3" t="s">
        <v>1508</v>
      </c>
      <c r="K442" s="3"/>
      <c r="L442" s="3" t="s">
        <v>1264</v>
      </c>
      <c r="M442" s="3">
        <v>46132</v>
      </c>
      <c r="N442" s="4">
        <v>800000</v>
      </c>
      <c r="O442" s="3" t="s">
        <v>1509</v>
      </c>
      <c r="P442" s="3">
        <v>61642</v>
      </c>
      <c r="Q442" s="4">
        <v>61642</v>
      </c>
      <c r="R442" s="3" t="s">
        <v>1304</v>
      </c>
      <c r="S442" s="3" t="s">
        <v>4</v>
      </c>
      <c r="T442" s="3" t="s">
        <v>4</v>
      </c>
      <c r="U442" s="3"/>
    </row>
    <row r="443" spans="1:21">
      <c r="A443">
        <v>3233</v>
      </c>
      <c r="B443" t="s">
        <v>12</v>
      </c>
      <c r="C443" t="s">
        <v>12</v>
      </c>
      <c r="D443" t="s">
        <v>75</v>
      </c>
      <c r="E443" t="s">
        <v>75</v>
      </c>
      <c r="F443" t="s">
        <v>90</v>
      </c>
      <c r="G443" t="s">
        <v>90</v>
      </c>
      <c r="H443" t="s">
        <v>1261</v>
      </c>
      <c r="I443" t="s">
        <v>1510</v>
      </c>
      <c r="J443" s="3" t="s">
        <v>1511</v>
      </c>
      <c r="K443" s="3"/>
      <c r="L443" s="3" t="s">
        <v>597</v>
      </c>
      <c r="M443" s="3">
        <v>46132</v>
      </c>
      <c r="N443" s="4">
        <v>780000</v>
      </c>
      <c r="O443" s="3"/>
      <c r="P443" s="3">
        <v>0</v>
      </c>
      <c r="Q443" s="4">
        <v>0</v>
      </c>
      <c r="R443" s="3"/>
      <c r="S443" s="3" t="s">
        <v>21</v>
      </c>
      <c r="T443" s="3" t="s">
        <v>21</v>
      </c>
      <c r="U443" s="3"/>
    </row>
    <row r="444" spans="1:21">
      <c r="A444">
        <v>3238</v>
      </c>
      <c r="B444" t="s">
        <v>12</v>
      </c>
      <c r="C444" t="s">
        <v>12</v>
      </c>
      <c r="D444" t="s">
        <v>75</v>
      </c>
      <c r="E444" t="s">
        <v>75</v>
      </c>
      <c r="F444" t="s">
        <v>90</v>
      </c>
      <c r="G444" t="s">
        <v>90</v>
      </c>
      <c r="H444" t="s">
        <v>1261</v>
      </c>
      <c r="I444" t="s">
        <v>1312</v>
      </c>
      <c r="J444" s="3" t="s">
        <v>1496</v>
      </c>
      <c r="K444" s="3"/>
      <c r="L444" s="3" t="s">
        <v>166</v>
      </c>
      <c r="M444" s="3">
        <v>46139</v>
      </c>
      <c r="N444" s="4">
        <v>780000</v>
      </c>
      <c r="O444" s="3" t="s">
        <v>1512</v>
      </c>
      <c r="P444" s="3">
        <v>64974</v>
      </c>
      <c r="Q444" s="4">
        <v>64974</v>
      </c>
      <c r="R444" s="3" t="s">
        <v>500</v>
      </c>
      <c r="S444" s="3" t="s">
        <v>4</v>
      </c>
      <c r="T444" s="3" t="s">
        <v>4</v>
      </c>
      <c r="U444" s="3"/>
    </row>
    <row r="445" spans="1:21">
      <c r="A445">
        <v>3232</v>
      </c>
      <c r="B445" t="s">
        <v>12</v>
      </c>
      <c r="C445" t="s">
        <v>12</v>
      </c>
      <c r="D445" t="s">
        <v>75</v>
      </c>
      <c r="E445" t="s">
        <v>75</v>
      </c>
      <c r="F445" t="s">
        <v>90</v>
      </c>
      <c r="G445" t="s">
        <v>90</v>
      </c>
      <c r="H445" t="s">
        <v>1261</v>
      </c>
      <c r="I445" t="s">
        <v>1513</v>
      </c>
      <c r="J445" s="3" t="s">
        <v>1514</v>
      </c>
      <c r="K445" s="3"/>
      <c r="L445" s="3" t="s">
        <v>597</v>
      </c>
      <c r="M445" s="3">
        <v>46132</v>
      </c>
      <c r="N445" s="4">
        <v>685000</v>
      </c>
      <c r="O445" s="3" t="s">
        <v>1300</v>
      </c>
      <c r="P445" s="3">
        <v>57060.5</v>
      </c>
      <c r="Q445" s="4">
        <v>57060.5</v>
      </c>
      <c r="R445" s="3" t="s">
        <v>307</v>
      </c>
      <c r="S445" s="3" t="s">
        <v>4</v>
      </c>
      <c r="T445" s="3" t="s">
        <v>4</v>
      </c>
      <c r="U445" s="3"/>
    </row>
    <row r="446" spans="1:21">
      <c r="A446">
        <v>3365</v>
      </c>
      <c r="B446" t="s">
        <v>12</v>
      </c>
      <c r="C446" t="s">
        <v>12</v>
      </c>
      <c r="D446" t="s">
        <v>75</v>
      </c>
      <c r="E446" t="s">
        <v>75</v>
      </c>
      <c r="F446" t="s">
        <v>90</v>
      </c>
      <c r="G446" t="s">
        <v>90</v>
      </c>
      <c r="H446" t="s">
        <v>1261</v>
      </c>
      <c r="I446" t="s">
        <v>1515</v>
      </c>
      <c r="J446" s="3" t="s">
        <v>1516</v>
      </c>
      <c r="K446" s="3"/>
      <c r="L446" s="3" t="s">
        <v>597</v>
      </c>
      <c r="M446" s="3">
        <v>46195</v>
      </c>
      <c r="N446" s="4">
        <v>1210000</v>
      </c>
      <c r="O446" s="3" t="s">
        <v>1517</v>
      </c>
      <c r="P446" s="3" t="s">
        <v>1518</v>
      </c>
      <c r="Q446" s="4">
        <v>100793</v>
      </c>
      <c r="R446" s="3" t="s">
        <v>1519</v>
      </c>
      <c r="S446" s="3" t="s">
        <v>19</v>
      </c>
      <c r="T446" s="3" t="s">
        <v>19</v>
      </c>
      <c r="U446" s="3"/>
    </row>
    <row r="447" spans="1:21">
      <c r="A447">
        <v>3468</v>
      </c>
      <c r="B447" t="s">
        <v>12</v>
      </c>
      <c r="C447" t="s">
        <v>12</v>
      </c>
      <c r="D447" t="s">
        <v>75</v>
      </c>
      <c r="E447" t="s">
        <v>75</v>
      </c>
      <c r="F447" t="s">
        <v>90</v>
      </c>
      <c r="G447" t="s">
        <v>90</v>
      </c>
      <c r="H447" t="s">
        <v>1261</v>
      </c>
      <c r="I447" t="s">
        <v>1520</v>
      </c>
      <c r="J447" s="3" t="s">
        <v>1521</v>
      </c>
      <c r="K447" s="3"/>
      <c r="L447" s="3" t="s">
        <v>597</v>
      </c>
      <c r="M447" s="3">
        <v>46251</v>
      </c>
      <c r="N447" s="4">
        <v>800000</v>
      </c>
      <c r="O447" s="3"/>
      <c r="P447" s="3">
        <v>66000</v>
      </c>
      <c r="Q447" s="4">
        <v>66000</v>
      </c>
      <c r="R447" s="3"/>
      <c r="S447" s="3" t="s">
        <v>20</v>
      </c>
      <c r="T447" s="3" t="s">
        <v>20</v>
      </c>
      <c r="U447" s="3"/>
    </row>
    <row r="448" spans="1:21">
      <c r="A448">
        <v>3156</v>
      </c>
      <c r="B448" t="s">
        <v>12</v>
      </c>
      <c r="C448" t="s">
        <v>12</v>
      </c>
      <c r="D448" t="s">
        <v>75</v>
      </c>
      <c r="E448" t="s">
        <v>75</v>
      </c>
      <c r="F448" t="s">
        <v>90</v>
      </c>
      <c r="G448" t="s">
        <v>90</v>
      </c>
      <c r="H448" t="s">
        <v>1261</v>
      </c>
      <c r="I448" t="s">
        <v>774</v>
      </c>
      <c r="J448" s="3" t="s">
        <v>1302</v>
      </c>
      <c r="K448" s="3"/>
      <c r="L448" s="3" t="s">
        <v>597</v>
      </c>
      <c r="M448" s="3" t="s">
        <v>438</v>
      </c>
      <c r="N448" s="4">
        <v>710000</v>
      </c>
      <c r="O448" s="3" t="s">
        <v>1522</v>
      </c>
      <c r="P448" s="3">
        <v>59143</v>
      </c>
      <c r="Q448" s="4">
        <v>59143</v>
      </c>
      <c r="R448" s="3" t="s">
        <v>891</v>
      </c>
      <c r="S448" s="3" t="s">
        <v>4</v>
      </c>
      <c r="T448" s="3" t="s">
        <v>4</v>
      </c>
      <c r="U448" s="3"/>
    </row>
    <row r="449" spans="1:21">
      <c r="A449">
        <v>3363</v>
      </c>
      <c r="B449" t="s">
        <v>12</v>
      </c>
      <c r="C449" t="s">
        <v>12</v>
      </c>
      <c r="D449" t="s">
        <v>75</v>
      </c>
      <c r="E449" t="s">
        <v>75</v>
      </c>
      <c r="F449" t="s">
        <v>90</v>
      </c>
      <c r="G449" t="s">
        <v>90</v>
      </c>
      <c r="H449" t="s">
        <v>1261</v>
      </c>
      <c r="I449" t="s">
        <v>1523</v>
      </c>
      <c r="J449" s="3" t="s">
        <v>1475</v>
      </c>
      <c r="K449" s="3"/>
      <c r="L449" s="3" t="s">
        <v>8</v>
      </c>
      <c r="M449" s="3">
        <v>46188</v>
      </c>
      <c r="N449" s="4" t="s">
        <v>1524</v>
      </c>
      <c r="O449" s="3" t="s">
        <v>1525</v>
      </c>
      <c r="P449" s="3">
        <v>88231.85</v>
      </c>
      <c r="Q449" s="4">
        <v>88231.85</v>
      </c>
      <c r="R449" s="3" t="s">
        <v>216</v>
      </c>
      <c r="S449" s="3" t="s">
        <v>19</v>
      </c>
      <c r="T449" s="3" t="s">
        <v>19</v>
      </c>
      <c r="U449" s="3"/>
    </row>
    <row r="450" spans="1:21">
      <c r="A450">
        <v>3198</v>
      </c>
      <c r="B450" t="s">
        <v>12</v>
      </c>
      <c r="C450" t="s">
        <v>12</v>
      </c>
      <c r="D450" t="s">
        <v>75</v>
      </c>
      <c r="E450" t="s">
        <v>75</v>
      </c>
      <c r="F450" t="s">
        <v>90</v>
      </c>
      <c r="G450" t="s">
        <v>90</v>
      </c>
      <c r="H450" t="s">
        <v>1261</v>
      </c>
      <c r="I450" t="s">
        <v>1526</v>
      </c>
      <c r="J450" s="3" t="s">
        <v>1299</v>
      </c>
      <c r="K450" s="3"/>
      <c r="L450" s="3" t="s">
        <v>597</v>
      </c>
      <c r="M450" s="3">
        <v>46125</v>
      </c>
      <c r="N450" s="4">
        <v>490000</v>
      </c>
      <c r="O450" s="3" t="s">
        <v>1300</v>
      </c>
      <c r="P450" s="3">
        <v>40817</v>
      </c>
      <c r="Q450" s="4">
        <v>40817</v>
      </c>
      <c r="R450" s="3" t="s">
        <v>307</v>
      </c>
      <c r="S450" s="3" t="s">
        <v>4</v>
      </c>
      <c r="T450" s="3" t="s">
        <v>4</v>
      </c>
      <c r="U450" s="3"/>
    </row>
    <row r="451" spans="1:21">
      <c r="A451">
        <v>3366</v>
      </c>
      <c r="B451" t="s">
        <v>12</v>
      </c>
      <c r="C451" t="s">
        <v>12</v>
      </c>
      <c r="D451" t="s">
        <v>75</v>
      </c>
      <c r="E451" t="s">
        <v>75</v>
      </c>
      <c r="F451" t="s">
        <v>90</v>
      </c>
      <c r="G451" t="s">
        <v>90</v>
      </c>
      <c r="H451" t="s">
        <v>1261</v>
      </c>
      <c r="I451" t="s">
        <v>1527</v>
      </c>
      <c r="J451" s="3" t="s">
        <v>1261</v>
      </c>
      <c r="K451" s="3"/>
      <c r="L451" s="3" t="s">
        <v>600</v>
      </c>
      <c r="M451" s="3">
        <v>46202</v>
      </c>
      <c r="N451" s="4">
        <v>1100000</v>
      </c>
      <c r="O451" s="3"/>
      <c r="P451" s="3">
        <v>91000</v>
      </c>
      <c r="Q451" s="4">
        <v>91000</v>
      </c>
      <c r="R451" s="3"/>
      <c r="S451" s="3" t="s">
        <v>20</v>
      </c>
      <c r="T451" s="3" t="s">
        <v>20</v>
      </c>
      <c r="U451" s="3"/>
    </row>
    <row r="452" spans="1:21">
      <c r="A452">
        <v>3037</v>
      </c>
      <c r="B452" t="s">
        <v>12</v>
      </c>
      <c r="C452" t="s">
        <v>12</v>
      </c>
      <c r="D452" t="s">
        <v>75</v>
      </c>
      <c r="E452" t="s">
        <v>75</v>
      </c>
      <c r="F452" t="s">
        <v>90</v>
      </c>
      <c r="G452" t="s">
        <v>90</v>
      </c>
      <c r="H452" t="s">
        <v>1261</v>
      </c>
      <c r="I452" t="s">
        <v>1528</v>
      </c>
      <c r="J452" s="3" t="s">
        <v>1306</v>
      </c>
      <c r="K452" s="3"/>
      <c r="L452" s="3" t="s">
        <v>597</v>
      </c>
      <c r="M452" s="3">
        <v>46049</v>
      </c>
      <c r="N452" s="4">
        <v>550000</v>
      </c>
      <c r="O452" s="3"/>
      <c r="P452" s="3">
        <v>0</v>
      </c>
      <c r="Q452" s="4">
        <v>0</v>
      </c>
      <c r="R452" s="3"/>
      <c r="S452" s="3" t="s">
        <v>21</v>
      </c>
      <c r="T452" s="3" t="s">
        <v>21</v>
      </c>
      <c r="U452" s="3"/>
    </row>
    <row r="453" spans="1:21">
      <c r="A453">
        <v>3296</v>
      </c>
      <c r="B453" t="s">
        <v>12</v>
      </c>
      <c r="C453" t="s">
        <v>12</v>
      </c>
      <c r="D453" t="s">
        <v>75</v>
      </c>
      <c r="E453" t="s">
        <v>75</v>
      </c>
      <c r="F453" t="s">
        <v>90</v>
      </c>
      <c r="G453" t="s">
        <v>90</v>
      </c>
      <c r="H453" t="s">
        <v>1261</v>
      </c>
      <c r="I453" t="s">
        <v>1529</v>
      </c>
      <c r="J453" s="3" t="s">
        <v>1308</v>
      </c>
      <c r="K453" s="3"/>
      <c r="L453" s="3" t="s">
        <v>597</v>
      </c>
      <c r="M453" s="3">
        <v>46160</v>
      </c>
      <c r="N453" s="4">
        <v>735000</v>
      </c>
      <c r="O453" s="3" t="s">
        <v>1503</v>
      </c>
      <c r="P453" s="3">
        <v>61225.5</v>
      </c>
      <c r="Q453" s="4">
        <v>61225.5</v>
      </c>
      <c r="R453" s="3" t="s">
        <v>263</v>
      </c>
      <c r="S453" s="3" t="s">
        <v>19</v>
      </c>
      <c r="T453" s="3" t="s">
        <v>19</v>
      </c>
      <c r="U453" s="3"/>
    </row>
    <row r="454" spans="1:21">
      <c r="A454">
        <v>3521</v>
      </c>
      <c r="B454" t="s">
        <v>12</v>
      </c>
      <c r="C454" t="s">
        <v>12</v>
      </c>
      <c r="D454" t="s">
        <v>75</v>
      </c>
      <c r="E454" t="s">
        <v>75</v>
      </c>
      <c r="F454" t="s">
        <v>91</v>
      </c>
      <c r="G454" t="s">
        <v>91</v>
      </c>
      <c r="H454" t="s">
        <v>1258</v>
      </c>
      <c r="I454" t="s">
        <v>1530</v>
      </c>
      <c r="J454" s="3" t="s">
        <v>1531</v>
      </c>
      <c r="K454" s="3"/>
      <c r="L454" s="3" t="s">
        <v>456</v>
      </c>
      <c r="M454" s="3">
        <v>46267</v>
      </c>
      <c r="N454" s="4">
        <v>2000000</v>
      </c>
      <c r="O454" s="3"/>
      <c r="P454" s="3">
        <v>166000</v>
      </c>
      <c r="Q454" s="4">
        <v>166000</v>
      </c>
      <c r="R454" s="3"/>
      <c r="S454" s="3" t="s">
        <v>20</v>
      </c>
      <c r="T454" s="3" t="s">
        <v>20</v>
      </c>
      <c r="U454" s="3"/>
    </row>
    <row r="455" spans="1:21">
      <c r="A455">
        <v>3402</v>
      </c>
      <c r="B455" t="s">
        <v>12</v>
      </c>
      <c r="C455" t="s">
        <v>12</v>
      </c>
      <c r="D455" t="s">
        <v>75</v>
      </c>
      <c r="E455" t="s">
        <v>75</v>
      </c>
      <c r="F455" t="s">
        <v>91</v>
      </c>
      <c r="G455" t="s">
        <v>91</v>
      </c>
      <c r="H455" t="s">
        <v>1261</v>
      </c>
      <c r="I455" t="s">
        <v>1532</v>
      </c>
      <c r="J455" s="3" t="s">
        <v>1302</v>
      </c>
      <c r="K455" s="3"/>
      <c r="L455" s="3" t="s">
        <v>597</v>
      </c>
      <c r="M455" s="3">
        <v>46216</v>
      </c>
      <c r="N455" s="4">
        <v>600000</v>
      </c>
      <c r="O455" s="3" t="s">
        <v>1517</v>
      </c>
      <c r="P455" s="3">
        <v>49980</v>
      </c>
      <c r="Q455" s="4">
        <v>49980</v>
      </c>
      <c r="R455" s="3" t="s">
        <v>1519</v>
      </c>
      <c r="S455" s="3" t="s">
        <v>19</v>
      </c>
      <c r="T455" s="3" t="s">
        <v>19</v>
      </c>
      <c r="U455" s="3"/>
    </row>
    <row r="456" spans="1:21">
      <c r="A456">
        <v>3403</v>
      </c>
      <c r="B456" t="s">
        <v>12</v>
      </c>
      <c r="C456" t="s">
        <v>12</v>
      </c>
      <c r="D456" t="s">
        <v>75</v>
      </c>
      <c r="E456" t="s">
        <v>75</v>
      </c>
      <c r="F456" t="s">
        <v>91</v>
      </c>
      <c r="G456" t="s">
        <v>91</v>
      </c>
      <c r="H456" t="s">
        <v>1261</v>
      </c>
      <c r="I456" t="s">
        <v>1533</v>
      </c>
      <c r="J456" s="3" t="s">
        <v>1534</v>
      </c>
      <c r="K456" s="3"/>
      <c r="L456" s="3" t="s">
        <v>597</v>
      </c>
      <c r="M456" s="3">
        <v>46216</v>
      </c>
      <c r="N456" s="4" t="s">
        <v>1535</v>
      </c>
      <c r="O456" s="3" t="s">
        <v>1536</v>
      </c>
      <c r="P456" s="3">
        <v>69972</v>
      </c>
      <c r="Q456" s="4">
        <v>69972</v>
      </c>
      <c r="R456" s="3" t="s">
        <v>1537</v>
      </c>
      <c r="S456" s="3" t="s">
        <v>19</v>
      </c>
      <c r="T456" s="3" t="s">
        <v>19</v>
      </c>
      <c r="U456" s="3"/>
    </row>
    <row r="457" spans="1:21">
      <c r="A457">
        <v>3242</v>
      </c>
      <c r="B457" t="s">
        <v>12</v>
      </c>
      <c r="C457" t="s">
        <v>12</v>
      </c>
      <c r="D457" t="s">
        <v>75</v>
      </c>
      <c r="E457" t="s">
        <v>75</v>
      </c>
      <c r="F457" t="s">
        <v>91</v>
      </c>
      <c r="G457" t="s">
        <v>91</v>
      </c>
      <c r="H457" t="s">
        <v>1261</v>
      </c>
      <c r="I457" t="s">
        <v>1538</v>
      </c>
      <c r="J457" s="3" t="s">
        <v>1302</v>
      </c>
      <c r="K457" s="3"/>
      <c r="L457" s="3" t="s">
        <v>597</v>
      </c>
      <c r="M457" s="3">
        <v>46139</v>
      </c>
      <c r="N457" s="4">
        <v>700000</v>
      </c>
      <c r="O457" s="3" t="s">
        <v>1539</v>
      </c>
      <c r="P457" s="3">
        <v>54145</v>
      </c>
      <c r="Q457" s="4">
        <v>54145</v>
      </c>
      <c r="R457" s="3" t="s">
        <v>1319</v>
      </c>
      <c r="S457" s="3" t="s">
        <v>4</v>
      </c>
      <c r="T457" s="3" t="s">
        <v>4</v>
      </c>
      <c r="U457" s="3"/>
    </row>
    <row r="458" spans="1:21">
      <c r="A458">
        <v>3149</v>
      </c>
      <c r="B458" t="s">
        <v>12</v>
      </c>
      <c r="C458" t="s">
        <v>12</v>
      </c>
      <c r="D458" t="s">
        <v>75</v>
      </c>
      <c r="E458" t="s">
        <v>75</v>
      </c>
      <c r="F458" t="s">
        <v>91</v>
      </c>
      <c r="G458" t="s">
        <v>91</v>
      </c>
      <c r="H458" t="s">
        <v>1261</v>
      </c>
      <c r="I458" t="s">
        <v>1540</v>
      </c>
      <c r="J458" s="3" t="s">
        <v>1302</v>
      </c>
      <c r="K458" s="3"/>
      <c r="L458" s="3" t="s">
        <v>597</v>
      </c>
      <c r="M458" s="3" t="s">
        <v>438</v>
      </c>
      <c r="N458" s="4">
        <v>665000</v>
      </c>
      <c r="O458" s="3" t="s">
        <v>1522</v>
      </c>
      <c r="P458" s="3">
        <v>55394.5</v>
      </c>
      <c r="Q458" s="4">
        <v>55394.5</v>
      </c>
      <c r="R458" s="3" t="s">
        <v>891</v>
      </c>
      <c r="S458" s="3" t="s">
        <v>4</v>
      </c>
      <c r="T458" s="3" t="s">
        <v>4</v>
      </c>
      <c r="U458" s="3"/>
    </row>
    <row r="459" spans="1:21">
      <c r="A459">
        <v>3018</v>
      </c>
      <c r="B459" t="s">
        <v>12</v>
      </c>
      <c r="C459" t="s">
        <v>12</v>
      </c>
      <c r="D459" t="s">
        <v>75</v>
      </c>
      <c r="E459" t="s">
        <v>75</v>
      </c>
      <c r="F459" t="s">
        <v>91</v>
      </c>
      <c r="G459" t="s">
        <v>91</v>
      </c>
      <c r="H459" t="s">
        <v>1261</v>
      </c>
      <c r="I459" t="s">
        <v>1541</v>
      </c>
      <c r="J459" s="3" t="s">
        <v>1308</v>
      </c>
      <c r="K459" s="3"/>
      <c r="L459" s="3" t="s">
        <v>597</v>
      </c>
      <c r="M459" s="3">
        <v>46034</v>
      </c>
      <c r="N459" s="4">
        <v>570000</v>
      </c>
      <c r="O459" s="3" t="s">
        <v>1542</v>
      </c>
      <c r="P459" s="3">
        <v>47481</v>
      </c>
      <c r="Q459" s="4">
        <v>47481</v>
      </c>
      <c r="R459" s="3" t="s">
        <v>794</v>
      </c>
      <c r="S459" s="3" t="s">
        <v>4</v>
      </c>
      <c r="T459" s="3" t="s">
        <v>4</v>
      </c>
      <c r="U459" s="3"/>
    </row>
    <row r="460" spans="1:21">
      <c r="A460">
        <v>3306</v>
      </c>
      <c r="B460" t="s">
        <v>12</v>
      </c>
      <c r="C460" t="s">
        <v>12</v>
      </c>
      <c r="D460" t="s">
        <v>75</v>
      </c>
      <c r="E460" t="s">
        <v>75</v>
      </c>
      <c r="F460" t="s">
        <v>91</v>
      </c>
      <c r="G460" t="s">
        <v>91</v>
      </c>
      <c r="H460" t="s">
        <v>1261</v>
      </c>
      <c r="I460" t="s">
        <v>1543</v>
      </c>
      <c r="J460" s="3" t="s">
        <v>1302</v>
      </c>
      <c r="K460" s="3"/>
      <c r="L460" s="3" t="s">
        <v>600</v>
      </c>
      <c r="M460" s="3">
        <v>46171</v>
      </c>
      <c r="N460" s="4" t="s">
        <v>1544</v>
      </c>
      <c r="O460" s="3" t="s">
        <v>1545</v>
      </c>
      <c r="P460" s="3">
        <v>74665.78</v>
      </c>
      <c r="Q460" s="4">
        <v>74665.78</v>
      </c>
      <c r="R460" s="3" t="s">
        <v>1537</v>
      </c>
      <c r="S460" s="3" t="s">
        <v>19</v>
      </c>
      <c r="T460" s="3" t="s">
        <v>19</v>
      </c>
      <c r="U460" s="3"/>
    </row>
    <row r="461" spans="1:21">
      <c r="A461">
        <v>3155</v>
      </c>
      <c r="B461" t="s">
        <v>12</v>
      </c>
      <c r="C461" t="s">
        <v>12</v>
      </c>
      <c r="D461" t="s">
        <v>75</v>
      </c>
      <c r="E461" t="s">
        <v>75</v>
      </c>
      <c r="F461" t="s">
        <v>92</v>
      </c>
      <c r="G461" t="s">
        <v>92</v>
      </c>
      <c r="H461" t="s">
        <v>1327</v>
      </c>
      <c r="I461" t="s">
        <v>1546</v>
      </c>
      <c r="J461" s="3" t="s">
        <v>1547</v>
      </c>
      <c r="K461" s="3"/>
      <c r="L461" s="3" t="s">
        <v>12</v>
      </c>
      <c r="M461" s="3">
        <v>46104</v>
      </c>
      <c r="N461" s="4">
        <v>800000</v>
      </c>
      <c r="O461" s="3"/>
      <c r="P461" s="3">
        <v>0</v>
      </c>
      <c r="Q461" s="4">
        <v>0</v>
      </c>
      <c r="R461" s="3"/>
      <c r="S461" s="3" t="s">
        <v>21</v>
      </c>
      <c r="T461" s="3" t="s">
        <v>21</v>
      </c>
      <c r="U461" s="3"/>
    </row>
    <row r="462" spans="1:21">
      <c r="A462">
        <v>3066</v>
      </c>
      <c r="B462" t="s">
        <v>12</v>
      </c>
      <c r="C462" t="s">
        <v>12</v>
      </c>
      <c r="D462" t="s">
        <v>75</v>
      </c>
      <c r="E462" t="s">
        <v>75</v>
      </c>
      <c r="F462" t="s">
        <v>92</v>
      </c>
      <c r="G462" t="s">
        <v>92</v>
      </c>
      <c r="H462" t="s">
        <v>1327</v>
      </c>
      <c r="I462" t="s">
        <v>1548</v>
      </c>
      <c r="J462" s="3" t="s">
        <v>1458</v>
      </c>
      <c r="K462" s="3"/>
      <c r="L462" s="3" t="s">
        <v>465</v>
      </c>
      <c r="M462" s="3" t="s">
        <v>438</v>
      </c>
      <c r="N462" s="4">
        <v>1176426</v>
      </c>
      <c r="O462" s="3" t="s">
        <v>1335</v>
      </c>
      <c r="P462" s="3">
        <v>97996.285799999998</v>
      </c>
      <c r="Q462" s="4">
        <v>97996.285799999998</v>
      </c>
      <c r="R462" s="3" t="s">
        <v>285</v>
      </c>
      <c r="S462" s="3" t="s">
        <v>4</v>
      </c>
      <c r="T462" s="3" t="s">
        <v>4</v>
      </c>
      <c r="U462" s="3"/>
    </row>
    <row r="463" spans="1:21">
      <c r="A463">
        <v>3455</v>
      </c>
      <c r="B463" t="s">
        <v>12</v>
      </c>
      <c r="C463" t="s">
        <v>12</v>
      </c>
      <c r="D463" t="s">
        <v>75</v>
      </c>
      <c r="E463" t="s">
        <v>75</v>
      </c>
      <c r="F463" t="s">
        <v>92</v>
      </c>
      <c r="G463" t="s">
        <v>92</v>
      </c>
      <c r="H463" t="s">
        <v>1327</v>
      </c>
      <c r="I463" t="s">
        <v>1549</v>
      </c>
      <c r="J463" s="3" t="s">
        <v>1422</v>
      </c>
      <c r="K463" s="3"/>
      <c r="L463" s="3" t="s">
        <v>591</v>
      </c>
      <c r="M463" s="3">
        <v>46239</v>
      </c>
      <c r="N463" s="4">
        <v>750000</v>
      </c>
      <c r="O463" s="3"/>
      <c r="P463" s="3">
        <v>62000</v>
      </c>
      <c r="Q463" s="4">
        <v>62000</v>
      </c>
      <c r="R463" s="3"/>
      <c r="S463" s="3" t="s">
        <v>20</v>
      </c>
      <c r="T463" s="3" t="s">
        <v>20</v>
      </c>
      <c r="U463" s="3"/>
    </row>
    <row r="464" spans="1:21">
      <c r="A464">
        <v>3295</v>
      </c>
      <c r="B464" t="s">
        <v>12</v>
      </c>
      <c r="C464" t="s">
        <v>12</v>
      </c>
      <c r="D464" t="s">
        <v>75</v>
      </c>
      <c r="E464" t="s">
        <v>75</v>
      </c>
      <c r="F464" t="s">
        <v>92</v>
      </c>
      <c r="G464" t="s">
        <v>92</v>
      </c>
      <c r="H464" t="s">
        <v>1327</v>
      </c>
      <c r="I464" t="s">
        <v>1091</v>
      </c>
      <c r="J464" s="3" t="s">
        <v>1337</v>
      </c>
      <c r="K464" s="3"/>
      <c r="L464" s="3" t="s">
        <v>1550</v>
      </c>
      <c r="M464" s="3">
        <v>46160</v>
      </c>
      <c r="N464" s="4">
        <v>1430777</v>
      </c>
      <c r="O464" s="3" t="s">
        <v>1364</v>
      </c>
      <c r="P464" s="3">
        <v>119183.72</v>
      </c>
      <c r="Q464" s="4">
        <v>119183.72</v>
      </c>
      <c r="R464" s="3" t="s">
        <v>1365</v>
      </c>
      <c r="S464" s="3" t="s">
        <v>4</v>
      </c>
      <c r="T464" s="3" t="s">
        <v>4</v>
      </c>
      <c r="U464" s="3"/>
    </row>
    <row r="465" spans="1:21">
      <c r="A465">
        <v>3294</v>
      </c>
      <c r="B465" t="s">
        <v>12</v>
      </c>
      <c r="C465" t="s">
        <v>12</v>
      </c>
      <c r="D465" t="s">
        <v>75</v>
      </c>
      <c r="E465" t="s">
        <v>75</v>
      </c>
      <c r="F465" t="s">
        <v>92</v>
      </c>
      <c r="G465" t="s">
        <v>92</v>
      </c>
      <c r="H465" t="s">
        <v>1327</v>
      </c>
      <c r="I465" t="s">
        <v>1551</v>
      </c>
      <c r="J465" s="3" t="s">
        <v>1362</v>
      </c>
      <c r="K465" s="3"/>
      <c r="L465" s="3" t="s">
        <v>1357</v>
      </c>
      <c r="M465" s="3">
        <v>46160</v>
      </c>
      <c r="N465" s="4" t="s">
        <v>1552</v>
      </c>
      <c r="O465" s="3" t="s">
        <v>1553</v>
      </c>
      <c r="P465" s="3">
        <v>94130.83</v>
      </c>
      <c r="Q465" s="4">
        <v>94130.83</v>
      </c>
      <c r="R465" s="3" t="s">
        <v>216</v>
      </c>
      <c r="S465" s="3" t="s">
        <v>4</v>
      </c>
      <c r="T465" s="3" t="s">
        <v>4</v>
      </c>
      <c r="U465" s="3"/>
    </row>
    <row r="466" spans="1:21">
      <c r="A466">
        <v>3425</v>
      </c>
      <c r="B466" t="s">
        <v>12</v>
      </c>
      <c r="C466" t="s">
        <v>12</v>
      </c>
      <c r="D466" t="s">
        <v>75</v>
      </c>
      <c r="E466" t="s">
        <v>75</v>
      </c>
      <c r="F466" t="s">
        <v>92</v>
      </c>
      <c r="G466" t="s">
        <v>92</v>
      </c>
      <c r="H466" t="s">
        <v>1327</v>
      </c>
      <c r="I466" t="s">
        <v>1554</v>
      </c>
      <c r="J466" s="3" t="s">
        <v>1555</v>
      </c>
      <c r="K466" s="3"/>
      <c r="L466" s="3" t="s">
        <v>1556</v>
      </c>
      <c r="M466" s="3">
        <v>46230</v>
      </c>
      <c r="N466" s="4">
        <v>1000000</v>
      </c>
      <c r="O466" s="3"/>
      <c r="P466" s="3">
        <v>85000</v>
      </c>
      <c r="Q466" s="4">
        <v>85000</v>
      </c>
      <c r="R466" s="3"/>
      <c r="S466" s="3" t="s">
        <v>20</v>
      </c>
      <c r="T466" s="3" t="s">
        <v>20</v>
      </c>
      <c r="U466" s="3"/>
    </row>
    <row r="467" spans="1:21">
      <c r="A467">
        <v>3494</v>
      </c>
      <c r="B467" t="s">
        <v>12</v>
      </c>
      <c r="C467" t="s">
        <v>12</v>
      </c>
      <c r="D467" t="s">
        <v>75</v>
      </c>
      <c r="E467" t="s">
        <v>75</v>
      </c>
      <c r="F467" t="s">
        <v>92</v>
      </c>
      <c r="G467" t="s">
        <v>92</v>
      </c>
      <c r="H467" t="s">
        <v>1327</v>
      </c>
      <c r="I467" t="s">
        <v>1557</v>
      </c>
      <c r="J467" s="3" t="s">
        <v>1461</v>
      </c>
      <c r="K467" s="3"/>
      <c r="L467" s="3" t="s">
        <v>166</v>
      </c>
      <c r="M467" s="3">
        <v>46258</v>
      </c>
      <c r="N467" s="4">
        <v>1100000</v>
      </c>
      <c r="O467" s="3"/>
      <c r="P467" s="3">
        <v>90000</v>
      </c>
      <c r="Q467" s="4">
        <v>90000</v>
      </c>
      <c r="R467" s="3"/>
      <c r="S467" s="3" t="s">
        <v>20</v>
      </c>
      <c r="T467" s="3" t="s">
        <v>20</v>
      </c>
      <c r="U467" s="3"/>
    </row>
    <row r="468" spans="1:21">
      <c r="A468">
        <v>3038</v>
      </c>
      <c r="B468" t="s">
        <v>12</v>
      </c>
      <c r="C468" t="s">
        <v>12</v>
      </c>
      <c r="D468" t="s">
        <v>75</v>
      </c>
      <c r="E468" t="s">
        <v>75</v>
      </c>
      <c r="F468" t="s">
        <v>92</v>
      </c>
      <c r="G468" t="s">
        <v>92</v>
      </c>
      <c r="H468" t="s">
        <v>1327</v>
      </c>
      <c r="I468" t="s">
        <v>1558</v>
      </c>
      <c r="J468" s="3" t="s">
        <v>1458</v>
      </c>
      <c r="K468" s="3"/>
      <c r="L468" s="3" t="s">
        <v>12</v>
      </c>
      <c r="M468" s="3" t="s">
        <v>678</v>
      </c>
      <c r="N468" s="4">
        <v>1239858</v>
      </c>
      <c r="O468" s="3" t="s">
        <v>1455</v>
      </c>
      <c r="P468" s="3">
        <v>103280.17139999999</v>
      </c>
      <c r="Q468" s="4">
        <v>103280.17139999999</v>
      </c>
      <c r="R468" s="3" t="s">
        <v>787</v>
      </c>
      <c r="S468" s="3" t="s">
        <v>4</v>
      </c>
      <c r="T468" s="3" t="s">
        <v>4</v>
      </c>
      <c r="U468" s="3"/>
    </row>
    <row r="469" spans="1:21">
      <c r="A469">
        <v>3410</v>
      </c>
      <c r="B469" t="s">
        <v>12</v>
      </c>
      <c r="C469" t="s">
        <v>12</v>
      </c>
      <c r="D469" t="s">
        <v>75</v>
      </c>
      <c r="E469" t="s">
        <v>75</v>
      </c>
      <c r="F469" t="s">
        <v>92</v>
      </c>
      <c r="G469" t="s">
        <v>92</v>
      </c>
      <c r="H469" t="s">
        <v>1327</v>
      </c>
      <c r="I469" t="s">
        <v>1559</v>
      </c>
      <c r="J469" s="3" t="s">
        <v>1348</v>
      </c>
      <c r="K469" s="3"/>
      <c r="L469" s="3" t="s">
        <v>1560</v>
      </c>
      <c r="M469" s="3">
        <v>46223</v>
      </c>
      <c r="N469" s="4" t="s">
        <v>1561</v>
      </c>
      <c r="O469" s="3" t="s">
        <v>1562</v>
      </c>
      <c r="P469" s="3">
        <v>76969.2</v>
      </c>
      <c r="Q469" s="4">
        <v>76969.2</v>
      </c>
      <c r="R469" s="3" t="s">
        <v>341</v>
      </c>
      <c r="S469" s="3" t="s">
        <v>4</v>
      </c>
      <c r="T469" s="3" t="s">
        <v>4</v>
      </c>
      <c r="U469" s="3"/>
    </row>
    <row r="470" spans="1:21">
      <c r="A470">
        <v>3050</v>
      </c>
      <c r="B470" t="s">
        <v>12</v>
      </c>
      <c r="C470" t="s">
        <v>12</v>
      </c>
      <c r="D470" t="s">
        <v>75</v>
      </c>
      <c r="E470" t="s">
        <v>75</v>
      </c>
      <c r="F470" t="s">
        <v>92</v>
      </c>
      <c r="G470" t="s">
        <v>92</v>
      </c>
      <c r="H470" t="s">
        <v>1327</v>
      </c>
      <c r="I470" t="s">
        <v>1563</v>
      </c>
      <c r="J470" s="3" t="s">
        <v>1564</v>
      </c>
      <c r="K470" s="3"/>
      <c r="L470" s="3" t="s">
        <v>12</v>
      </c>
      <c r="M470" s="3">
        <v>46055</v>
      </c>
      <c r="N470" s="4">
        <v>702410</v>
      </c>
      <c r="O470" s="3" t="s">
        <v>1464</v>
      </c>
      <c r="P470" s="3">
        <v>58510.752999999997</v>
      </c>
      <c r="Q470" s="4">
        <v>58510.752999999997</v>
      </c>
      <c r="R470" s="3" t="s">
        <v>654</v>
      </c>
      <c r="S470" s="3" t="s">
        <v>4</v>
      </c>
      <c r="T470" s="3" t="s">
        <v>4</v>
      </c>
      <c r="U470" s="3"/>
    </row>
    <row r="471" spans="1:21">
      <c r="A471">
        <v>3082</v>
      </c>
      <c r="B471" t="s">
        <v>12</v>
      </c>
      <c r="C471" t="s">
        <v>12</v>
      </c>
      <c r="D471" t="s">
        <v>75</v>
      </c>
      <c r="E471" t="s">
        <v>75</v>
      </c>
      <c r="F471" t="s">
        <v>92</v>
      </c>
      <c r="G471" t="s">
        <v>92</v>
      </c>
      <c r="H471" t="s">
        <v>1327</v>
      </c>
      <c r="I471" t="s">
        <v>1565</v>
      </c>
      <c r="J471" s="3" t="s">
        <v>1566</v>
      </c>
      <c r="K471" s="3"/>
      <c r="L471" s="3" t="s">
        <v>12</v>
      </c>
      <c r="M471" s="3">
        <v>46076</v>
      </c>
      <c r="N471" s="4">
        <v>1006298</v>
      </c>
      <c r="O471" s="3" t="s">
        <v>1464</v>
      </c>
      <c r="P471" s="3">
        <v>83824.623399999997</v>
      </c>
      <c r="Q471" s="4">
        <v>83824.623399999997</v>
      </c>
      <c r="R471" s="3" t="s">
        <v>654</v>
      </c>
      <c r="S471" s="3" t="s">
        <v>4</v>
      </c>
      <c r="T471" s="3" t="s">
        <v>4</v>
      </c>
      <c r="U471" s="3"/>
    </row>
    <row r="472" spans="1:21">
      <c r="A472">
        <v>3305</v>
      </c>
      <c r="B472" t="s">
        <v>12</v>
      </c>
      <c r="C472" t="s">
        <v>12</v>
      </c>
      <c r="D472" t="s">
        <v>75</v>
      </c>
      <c r="E472" t="s">
        <v>75</v>
      </c>
      <c r="F472" t="s">
        <v>92</v>
      </c>
      <c r="G472" t="s">
        <v>92</v>
      </c>
      <c r="H472" t="s">
        <v>1327</v>
      </c>
      <c r="I472" t="s">
        <v>1567</v>
      </c>
      <c r="J472" s="3" t="s">
        <v>1348</v>
      </c>
      <c r="K472" s="3"/>
      <c r="L472" s="3" t="s">
        <v>127</v>
      </c>
      <c r="M472" s="3">
        <v>46171</v>
      </c>
      <c r="N472" s="4">
        <v>1400000</v>
      </c>
      <c r="O472" s="3"/>
      <c r="P472" s="3">
        <v>0</v>
      </c>
      <c r="Q472" s="4">
        <v>0</v>
      </c>
      <c r="R472" s="3"/>
      <c r="S472" s="3" t="s">
        <v>21</v>
      </c>
      <c r="T472" s="3" t="s">
        <v>21</v>
      </c>
      <c r="U472" s="3"/>
    </row>
    <row r="473" spans="1:21">
      <c r="A473">
        <v>3058</v>
      </c>
      <c r="B473" t="s">
        <v>12</v>
      </c>
      <c r="C473" t="s">
        <v>12</v>
      </c>
      <c r="D473" t="s">
        <v>75</v>
      </c>
      <c r="E473" t="s">
        <v>75</v>
      </c>
      <c r="F473" t="s">
        <v>92</v>
      </c>
      <c r="G473" t="s">
        <v>92</v>
      </c>
      <c r="H473" t="s">
        <v>1327</v>
      </c>
      <c r="I473" t="s">
        <v>1568</v>
      </c>
      <c r="J473" s="3" t="s">
        <v>1569</v>
      </c>
      <c r="K473" s="3"/>
      <c r="L473" s="3" t="s">
        <v>1570</v>
      </c>
      <c r="M473" s="3">
        <v>46062</v>
      </c>
      <c r="N473" s="4">
        <v>1211371</v>
      </c>
      <c r="O473" s="3" t="s">
        <v>1464</v>
      </c>
      <c r="P473" s="3">
        <v>100907.2043</v>
      </c>
      <c r="Q473" s="4">
        <v>100907.2043</v>
      </c>
      <c r="R473" s="3" t="s">
        <v>654</v>
      </c>
      <c r="S473" s="3" t="s">
        <v>4</v>
      </c>
      <c r="T473" s="3" t="s">
        <v>4</v>
      </c>
      <c r="U473" s="3"/>
    </row>
    <row r="474" spans="1:21">
      <c r="A474">
        <v>3078</v>
      </c>
      <c r="B474" t="s">
        <v>12</v>
      </c>
      <c r="C474" t="s">
        <v>12</v>
      </c>
      <c r="D474" t="s">
        <v>75</v>
      </c>
      <c r="E474" t="s">
        <v>75</v>
      </c>
      <c r="F474" t="s">
        <v>92</v>
      </c>
      <c r="G474" t="s">
        <v>92</v>
      </c>
      <c r="H474" t="s">
        <v>1327</v>
      </c>
      <c r="I474" t="s">
        <v>1571</v>
      </c>
      <c r="J474" s="3" t="s">
        <v>1333</v>
      </c>
      <c r="K474" s="3"/>
      <c r="L474" s="3" t="s">
        <v>416</v>
      </c>
      <c r="M474" s="3" t="s">
        <v>1572</v>
      </c>
      <c r="N474" s="4">
        <v>815188</v>
      </c>
      <c r="O474" s="3" t="s">
        <v>1455</v>
      </c>
      <c r="P474" s="3">
        <v>67905.160399999993</v>
      </c>
      <c r="Q474" s="4">
        <v>67905.160399999993</v>
      </c>
      <c r="R474" s="3" t="s">
        <v>787</v>
      </c>
      <c r="S474" s="3" t="s">
        <v>4</v>
      </c>
      <c r="T474" s="3" t="s">
        <v>4</v>
      </c>
      <c r="U474" s="3"/>
    </row>
    <row r="475" spans="1:21">
      <c r="A475">
        <v>3092</v>
      </c>
      <c r="B475" t="s">
        <v>12</v>
      </c>
      <c r="C475" t="s">
        <v>12</v>
      </c>
      <c r="D475" t="s">
        <v>75</v>
      </c>
      <c r="E475" t="s">
        <v>75</v>
      </c>
      <c r="F475" t="s">
        <v>92</v>
      </c>
      <c r="G475" t="s">
        <v>92</v>
      </c>
      <c r="H475" t="s">
        <v>1327</v>
      </c>
      <c r="I475" t="s">
        <v>1573</v>
      </c>
      <c r="J475" s="3" t="s">
        <v>1458</v>
      </c>
      <c r="K475" s="3"/>
      <c r="L475" s="3" t="s">
        <v>750</v>
      </c>
      <c r="M475" s="3" t="s">
        <v>932</v>
      </c>
      <c r="N475" s="4">
        <v>1004456</v>
      </c>
      <c r="O475" s="3" t="s">
        <v>1455</v>
      </c>
      <c r="P475" s="3">
        <v>83671.184800000003</v>
      </c>
      <c r="Q475" s="4">
        <v>83671.184800000003</v>
      </c>
      <c r="R475" s="3" t="s">
        <v>787</v>
      </c>
      <c r="S475" s="3" t="s">
        <v>4</v>
      </c>
      <c r="T475" s="3" t="s">
        <v>4</v>
      </c>
      <c r="U475" s="3"/>
    </row>
    <row r="476" spans="1:21">
      <c r="A476">
        <v>3466</v>
      </c>
      <c r="B476" t="s">
        <v>12</v>
      </c>
      <c r="C476" t="s">
        <v>12</v>
      </c>
      <c r="D476" t="s">
        <v>75</v>
      </c>
      <c r="E476" t="s">
        <v>75</v>
      </c>
      <c r="F476" t="s">
        <v>92</v>
      </c>
      <c r="G476" t="s">
        <v>92</v>
      </c>
      <c r="H476" t="s">
        <v>1327</v>
      </c>
      <c r="I476" t="s">
        <v>1574</v>
      </c>
      <c r="J476" s="3" t="s">
        <v>1362</v>
      </c>
      <c r="K476" s="3"/>
      <c r="L476" s="3" t="s">
        <v>8</v>
      </c>
      <c r="M476" s="3">
        <v>46251</v>
      </c>
      <c r="N476" s="4">
        <v>1000000</v>
      </c>
      <c r="O476" s="3"/>
      <c r="P476" s="3">
        <v>83000</v>
      </c>
      <c r="Q476" s="4">
        <v>83000</v>
      </c>
      <c r="R476" s="3"/>
      <c r="S476" s="3" t="s">
        <v>20</v>
      </c>
      <c r="T476" s="3" t="s">
        <v>20</v>
      </c>
      <c r="U476" s="3"/>
    </row>
    <row r="477" spans="1:21">
      <c r="A477">
        <v>3408</v>
      </c>
      <c r="B477" t="s">
        <v>12</v>
      </c>
      <c r="C477" t="s">
        <v>12</v>
      </c>
      <c r="D477" t="s">
        <v>75</v>
      </c>
      <c r="E477" t="s">
        <v>75</v>
      </c>
      <c r="F477" t="s">
        <v>92</v>
      </c>
      <c r="G477" t="s">
        <v>92</v>
      </c>
      <c r="H477" t="s">
        <v>1327</v>
      </c>
      <c r="I477" t="s">
        <v>1575</v>
      </c>
      <c r="J477" s="3" t="s">
        <v>1576</v>
      </c>
      <c r="K477" s="3"/>
      <c r="L477" s="3" t="s">
        <v>13</v>
      </c>
      <c r="M477" s="3">
        <v>46218</v>
      </c>
      <c r="N477" s="4" t="s">
        <v>1577</v>
      </c>
      <c r="O477" s="3" t="s">
        <v>1424</v>
      </c>
      <c r="P477" s="3" t="s">
        <v>1578</v>
      </c>
      <c r="Q477" s="4">
        <v>187633.99</v>
      </c>
      <c r="R477" s="3" t="s">
        <v>341</v>
      </c>
      <c r="S477" s="3" t="s">
        <v>4</v>
      </c>
      <c r="T477" s="3" t="s">
        <v>4</v>
      </c>
      <c r="U477" s="3"/>
    </row>
    <row r="478" spans="1:21">
      <c r="A478">
        <v>3414</v>
      </c>
      <c r="B478" t="s">
        <v>12</v>
      </c>
      <c r="C478" t="s">
        <v>12</v>
      </c>
      <c r="D478" t="s">
        <v>75</v>
      </c>
      <c r="E478" t="s">
        <v>75</v>
      </c>
      <c r="F478" t="s">
        <v>92</v>
      </c>
      <c r="G478" t="s">
        <v>92</v>
      </c>
      <c r="H478" t="s">
        <v>1327</v>
      </c>
      <c r="I478" t="s">
        <v>1579</v>
      </c>
      <c r="J478" s="3" t="s">
        <v>1580</v>
      </c>
      <c r="K478" s="3"/>
      <c r="L478" s="3" t="s">
        <v>12</v>
      </c>
      <c r="M478" s="3">
        <v>46223</v>
      </c>
      <c r="N478" s="4" t="s">
        <v>1581</v>
      </c>
      <c r="O478" s="3" t="s">
        <v>1351</v>
      </c>
      <c r="P478" s="3">
        <v>87818.36</v>
      </c>
      <c r="Q478" s="4">
        <v>87818.36</v>
      </c>
      <c r="R478" s="3" t="s">
        <v>341</v>
      </c>
      <c r="S478" s="3" t="s">
        <v>4</v>
      </c>
      <c r="T478" s="3" t="s">
        <v>4</v>
      </c>
      <c r="U478" s="3"/>
    </row>
    <row r="479" spans="1:21">
      <c r="A479">
        <v>3422</v>
      </c>
      <c r="B479" t="s">
        <v>12</v>
      </c>
      <c r="C479" t="s">
        <v>12</v>
      </c>
      <c r="D479" t="s">
        <v>75</v>
      </c>
      <c r="E479" t="s">
        <v>75</v>
      </c>
      <c r="F479" t="s">
        <v>92</v>
      </c>
      <c r="G479" t="s">
        <v>92</v>
      </c>
      <c r="H479" t="s">
        <v>1327</v>
      </c>
      <c r="I479" t="s">
        <v>1582</v>
      </c>
      <c r="J479" s="3" t="s">
        <v>1583</v>
      </c>
      <c r="K479" s="3"/>
      <c r="L479" s="3" t="s">
        <v>13</v>
      </c>
      <c r="M479" s="3">
        <v>46225</v>
      </c>
      <c r="N479" s="4" t="s">
        <v>1584</v>
      </c>
      <c r="O479" s="3" t="s">
        <v>1351</v>
      </c>
      <c r="P479" s="3" t="s">
        <v>1585</v>
      </c>
      <c r="Q479" s="4">
        <v>104660.45</v>
      </c>
      <c r="R479" s="3" t="s">
        <v>341</v>
      </c>
      <c r="S479" s="3" t="s">
        <v>4</v>
      </c>
      <c r="T479" s="3" t="s">
        <v>4</v>
      </c>
      <c r="U479" s="3"/>
    </row>
    <row r="480" spans="1:21">
      <c r="A480">
        <v>3541</v>
      </c>
      <c r="B480" t="s">
        <v>12</v>
      </c>
      <c r="C480" t="s">
        <v>12</v>
      </c>
      <c r="D480" t="s">
        <v>75</v>
      </c>
      <c r="E480" t="s">
        <v>75</v>
      </c>
      <c r="F480" t="s">
        <v>92</v>
      </c>
      <c r="G480" t="s">
        <v>92</v>
      </c>
      <c r="H480" t="s">
        <v>1327</v>
      </c>
      <c r="I480" t="s">
        <v>1586</v>
      </c>
      <c r="J480" s="3" t="s">
        <v>1587</v>
      </c>
      <c r="K480" s="3"/>
      <c r="L480" s="3" t="s">
        <v>750</v>
      </c>
      <c r="M480" s="3">
        <v>46279</v>
      </c>
      <c r="N480" s="4">
        <v>1450000</v>
      </c>
      <c r="O480" s="3"/>
      <c r="P480" s="3">
        <v>120000</v>
      </c>
      <c r="Q480" s="4">
        <v>120000</v>
      </c>
      <c r="R480" s="3"/>
      <c r="S480" s="3" t="s">
        <v>20</v>
      </c>
      <c r="T480" s="3" t="s">
        <v>20</v>
      </c>
      <c r="U480" s="3"/>
    </row>
    <row r="481" spans="1:21">
      <c r="A481">
        <v>3266</v>
      </c>
      <c r="B481" t="s">
        <v>12</v>
      </c>
      <c r="C481" t="s">
        <v>12</v>
      </c>
      <c r="D481" t="s">
        <v>75</v>
      </c>
      <c r="E481" t="s">
        <v>75</v>
      </c>
      <c r="F481" t="s">
        <v>92</v>
      </c>
      <c r="G481" t="s">
        <v>92</v>
      </c>
      <c r="H481" t="s">
        <v>1327</v>
      </c>
      <c r="I481" t="s">
        <v>1588</v>
      </c>
      <c r="J481" s="3" t="s">
        <v>1589</v>
      </c>
      <c r="K481" s="3"/>
      <c r="L481" s="3" t="s">
        <v>591</v>
      </c>
      <c r="M481" s="3">
        <v>46153</v>
      </c>
      <c r="N481" s="4">
        <v>1225189</v>
      </c>
      <c r="O481" s="3" t="s">
        <v>1364</v>
      </c>
      <c r="P481" s="3">
        <v>102058.24000000001</v>
      </c>
      <c r="Q481" s="4">
        <v>102058.24000000001</v>
      </c>
      <c r="R481" s="3" t="s">
        <v>1365</v>
      </c>
      <c r="S481" s="3" t="s">
        <v>4</v>
      </c>
      <c r="T481" s="3" t="s">
        <v>4</v>
      </c>
      <c r="U481" s="3"/>
    </row>
    <row r="482" spans="1:21" ht="27.6">
      <c r="A482">
        <v>3433</v>
      </c>
      <c r="B482" t="s">
        <v>12</v>
      </c>
      <c r="C482" t="s">
        <v>12</v>
      </c>
      <c r="D482" t="s">
        <v>75</v>
      </c>
      <c r="E482" t="s">
        <v>75</v>
      </c>
      <c r="F482" t="s">
        <v>92</v>
      </c>
      <c r="G482" t="s">
        <v>92</v>
      </c>
      <c r="H482" t="s">
        <v>1327</v>
      </c>
      <c r="I482" t="s">
        <v>1590</v>
      </c>
      <c r="J482" s="3" t="s">
        <v>1591</v>
      </c>
      <c r="K482" s="3"/>
      <c r="L482" s="3" t="s">
        <v>1592</v>
      </c>
      <c r="M482" s="3">
        <v>46237</v>
      </c>
      <c r="N482" s="4" t="s">
        <v>1593</v>
      </c>
      <c r="O482" s="3" t="s">
        <v>1562</v>
      </c>
      <c r="P482" s="3" t="s">
        <v>1594</v>
      </c>
      <c r="Q482" s="4">
        <v>183651.43</v>
      </c>
      <c r="R482" s="3" t="s">
        <v>341</v>
      </c>
      <c r="S482" s="3" t="s">
        <v>4</v>
      </c>
      <c r="T482" s="3" t="s">
        <v>4</v>
      </c>
      <c r="U482" s="3"/>
    </row>
    <row r="483" spans="1:21">
      <c r="A483">
        <v>3368</v>
      </c>
      <c r="B483" t="s">
        <v>12</v>
      </c>
      <c r="C483" t="s">
        <v>12</v>
      </c>
      <c r="D483" t="s">
        <v>75</v>
      </c>
      <c r="E483" t="s">
        <v>75</v>
      </c>
      <c r="F483" t="s">
        <v>92</v>
      </c>
      <c r="G483" t="s">
        <v>92</v>
      </c>
      <c r="H483" t="s">
        <v>1327</v>
      </c>
      <c r="I483" t="s">
        <v>1595</v>
      </c>
      <c r="J483" s="3" t="s">
        <v>1596</v>
      </c>
      <c r="K483" s="3"/>
      <c r="L483" s="3" t="s">
        <v>166</v>
      </c>
      <c r="M483" s="3">
        <v>46188</v>
      </c>
      <c r="N483" s="4" t="s">
        <v>1597</v>
      </c>
      <c r="O483" s="3" t="s">
        <v>1553</v>
      </c>
      <c r="P483" s="3" t="s">
        <v>1598</v>
      </c>
      <c r="Q483" s="4">
        <v>103296.16</v>
      </c>
      <c r="R483" s="3" t="s">
        <v>216</v>
      </c>
      <c r="S483" s="3" t="s">
        <v>4</v>
      </c>
      <c r="T483" s="3" t="s">
        <v>4</v>
      </c>
      <c r="U483" s="3"/>
    </row>
    <row r="484" spans="1:21">
      <c r="A484">
        <v>3369</v>
      </c>
      <c r="B484" t="s">
        <v>12</v>
      </c>
      <c r="C484" t="s">
        <v>12</v>
      </c>
      <c r="D484" t="s">
        <v>75</v>
      </c>
      <c r="E484" t="s">
        <v>75</v>
      </c>
      <c r="F484" t="s">
        <v>93</v>
      </c>
      <c r="G484" t="s">
        <v>93</v>
      </c>
      <c r="H484" t="s">
        <v>1327</v>
      </c>
      <c r="I484" t="s">
        <v>1599</v>
      </c>
      <c r="J484" s="3" t="s">
        <v>1600</v>
      </c>
      <c r="K484" s="3"/>
      <c r="L484" s="3" t="s">
        <v>12</v>
      </c>
      <c r="M484" s="3">
        <v>46195</v>
      </c>
      <c r="N484" s="4" t="s">
        <v>1601</v>
      </c>
      <c r="O484" s="3" t="s">
        <v>1525</v>
      </c>
      <c r="P484" s="3" t="s">
        <v>1602</v>
      </c>
      <c r="Q484" s="4">
        <v>110224.14</v>
      </c>
      <c r="R484" s="3" t="s">
        <v>216</v>
      </c>
      <c r="S484" s="3" t="s">
        <v>19</v>
      </c>
      <c r="T484" s="3" t="s">
        <v>19</v>
      </c>
      <c r="U484" s="3"/>
    </row>
    <row r="485" spans="1:21">
      <c r="A485">
        <v>3034</v>
      </c>
      <c r="B485" t="s">
        <v>12</v>
      </c>
      <c r="C485" t="s">
        <v>12</v>
      </c>
      <c r="D485" t="s">
        <v>75</v>
      </c>
      <c r="E485" t="s">
        <v>75</v>
      </c>
      <c r="F485" t="s">
        <v>93</v>
      </c>
      <c r="G485" t="s">
        <v>93</v>
      </c>
      <c r="H485" t="s">
        <v>1327</v>
      </c>
      <c r="I485" t="s">
        <v>1603</v>
      </c>
      <c r="J485" s="3" t="s">
        <v>1604</v>
      </c>
      <c r="K485" s="3"/>
      <c r="L485" s="3" t="s">
        <v>12</v>
      </c>
      <c r="M485" s="3">
        <v>46044</v>
      </c>
      <c r="N485" s="4">
        <v>1100000</v>
      </c>
      <c r="O485" s="3"/>
      <c r="P485" s="3">
        <v>0</v>
      </c>
      <c r="Q485" s="4">
        <v>0</v>
      </c>
      <c r="R485" s="3"/>
      <c r="S485" s="3" t="s">
        <v>21</v>
      </c>
      <c r="T485" s="3" t="s">
        <v>21</v>
      </c>
      <c r="U485" s="3"/>
    </row>
    <row r="486" spans="1:21">
      <c r="A486">
        <v>3387</v>
      </c>
      <c r="B486" t="s">
        <v>12</v>
      </c>
      <c r="C486" t="s">
        <v>12</v>
      </c>
      <c r="D486" t="s">
        <v>75</v>
      </c>
      <c r="E486" t="s">
        <v>75</v>
      </c>
      <c r="F486" t="s">
        <v>93</v>
      </c>
      <c r="G486" t="s">
        <v>93</v>
      </c>
      <c r="H486" t="s">
        <v>1327</v>
      </c>
      <c r="I486" t="s">
        <v>1605</v>
      </c>
      <c r="J486" s="3" t="s">
        <v>1362</v>
      </c>
      <c r="K486" s="3"/>
      <c r="L486" s="3" t="s">
        <v>456</v>
      </c>
      <c r="M486" s="3">
        <v>46206</v>
      </c>
      <c r="N486" s="4" t="s">
        <v>1606</v>
      </c>
      <c r="O486" s="3" t="s">
        <v>1553</v>
      </c>
      <c r="P486" s="3" t="s">
        <v>1607</v>
      </c>
      <c r="Q486" s="4">
        <v>125009.39</v>
      </c>
      <c r="R486" s="3" t="s">
        <v>216</v>
      </c>
      <c r="S486" s="3" t="s">
        <v>4</v>
      </c>
      <c r="T486" s="3" t="s">
        <v>4</v>
      </c>
      <c r="U486" s="3"/>
    </row>
    <row r="487" spans="1:21">
      <c r="A487">
        <v>3057</v>
      </c>
      <c r="B487" t="s">
        <v>12</v>
      </c>
      <c r="C487" t="s">
        <v>12</v>
      </c>
      <c r="D487" t="s">
        <v>75</v>
      </c>
      <c r="E487" t="s">
        <v>75</v>
      </c>
      <c r="F487" t="s">
        <v>93</v>
      </c>
      <c r="G487" t="s">
        <v>93</v>
      </c>
      <c r="H487" t="s">
        <v>1327</v>
      </c>
      <c r="I487" t="s">
        <v>1608</v>
      </c>
      <c r="J487" s="3" t="s">
        <v>1609</v>
      </c>
      <c r="K487" s="3"/>
      <c r="L487" s="3" t="s">
        <v>456</v>
      </c>
      <c r="M487" s="3">
        <v>46058</v>
      </c>
      <c r="N487" s="4">
        <v>1216741</v>
      </c>
      <c r="O487" s="3" t="s">
        <v>1464</v>
      </c>
      <c r="P487" s="3">
        <v>101354.52529999999</v>
      </c>
      <c r="Q487" s="4">
        <v>101354.52529999999</v>
      </c>
      <c r="R487" s="3" t="s">
        <v>654</v>
      </c>
      <c r="S487" s="3" t="s">
        <v>4</v>
      </c>
      <c r="T487" s="3" t="s">
        <v>4</v>
      </c>
      <c r="U487" s="3"/>
    </row>
    <row r="488" spans="1:21">
      <c r="A488">
        <v>3383</v>
      </c>
      <c r="B488" t="s">
        <v>12</v>
      </c>
      <c r="C488" t="s">
        <v>12</v>
      </c>
      <c r="D488" t="s">
        <v>75</v>
      </c>
      <c r="E488" t="s">
        <v>75</v>
      </c>
      <c r="F488" t="s">
        <v>93</v>
      </c>
      <c r="G488" t="s">
        <v>93</v>
      </c>
      <c r="H488" t="s">
        <v>1327</v>
      </c>
      <c r="I488" t="s">
        <v>1610</v>
      </c>
      <c r="J488" s="3" t="s">
        <v>1461</v>
      </c>
      <c r="K488" s="3"/>
      <c r="L488" s="3" t="s">
        <v>1611</v>
      </c>
      <c r="M488" s="3">
        <v>46202</v>
      </c>
      <c r="N488" s="4" t="s">
        <v>1612</v>
      </c>
      <c r="O488" s="3" t="s">
        <v>1359</v>
      </c>
      <c r="P488" s="3">
        <v>92769.87</v>
      </c>
      <c r="Q488" s="4">
        <v>92769.87</v>
      </c>
      <c r="R488" s="3" t="s">
        <v>216</v>
      </c>
      <c r="S488" s="3" t="s">
        <v>4</v>
      </c>
      <c r="T488" s="3" t="s">
        <v>4</v>
      </c>
      <c r="U488" s="3"/>
    </row>
    <row r="489" spans="1:21">
      <c r="A489">
        <v>3370</v>
      </c>
      <c r="B489" t="s">
        <v>12</v>
      </c>
      <c r="C489" t="s">
        <v>12</v>
      </c>
      <c r="D489" t="s">
        <v>75</v>
      </c>
      <c r="E489" t="s">
        <v>75</v>
      </c>
      <c r="F489" t="s">
        <v>93</v>
      </c>
      <c r="G489" t="s">
        <v>93</v>
      </c>
      <c r="H489" t="s">
        <v>1327</v>
      </c>
      <c r="I489" t="s">
        <v>1613</v>
      </c>
      <c r="J489" s="3" t="s">
        <v>1362</v>
      </c>
      <c r="K489" s="3"/>
      <c r="L489" s="3" t="s">
        <v>166</v>
      </c>
      <c r="M489" s="3">
        <v>46198</v>
      </c>
      <c r="N489" s="4" t="s">
        <v>1614</v>
      </c>
      <c r="O489" s="3" t="s">
        <v>1525</v>
      </c>
      <c r="P489" s="3">
        <v>91641.99</v>
      </c>
      <c r="Q489" s="4">
        <v>91641.99</v>
      </c>
      <c r="R489" s="3" t="s">
        <v>216</v>
      </c>
      <c r="S489" s="3" t="s">
        <v>19</v>
      </c>
      <c r="T489" s="3" t="s">
        <v>19</v>
      </c>
      <c r="U489" s="3"/>
    </row>
    <row r="490" spans="1:21">
      <c r="A490">
        <v>2991</v>
      </c>
      <c r="B490" t="s">
        <v>12</v>
      </c>
      <c r="C490" t="s">
        <v>12</v>
      </c>
      <c r="D490" t="s">
        <v>75</v>
      </c>
      <c r="E490" t="s">
        <v>75</v>
      </c>
      <c r="F490" t="s">
        <v>93</v>
      </c>
      <c r="G490" t="s">
        <v>93</v>
      </c>
      <c r="H490" t="s">
        <v>1327</v>
      </c>
      <c r="I490" t="s">
        <v>1615</v>
      </c>
      <c r="J490" s="3" t="s">
        <v>1461</v>
      </c>
      <c r="K490" s="3">
        <v>2026</v>
      </c>
      <c r="L490" s="3" t="s">
        <v>750</v>
      </c>
      <c r="M490" s="3" t="s">
        <v>147</v>
      </c>
      <c r="N490" s="4">
        <v>1367279</v>
      </c>
      <c r="O490" s="3" t="s">
        <v>1464</v>
      </c>
      <c r="P490" s="3">
        <v>113894.3407</v>
      </c>
      <c r="Q490" s="4">
        <v>113894.3407</v>
      </c>
      <c r="R490" s="3" t="s">
        <v>1096</v>
      </c>
      <c r="S490" s="3" t="s">
        <v>4</v>
      </c>
      <c r="T490" s="3" t="s">
        <v>4</v>
      </c>
      <c r="U490" s="3"/>
    </row>
    <row r="491" spans="1:21">
      <c r="A491">
        <v>3298</v>
      </c>
      <c r="B491" t="s">
        <v>12</v>
      </c>
      <c r="C491" t="s">
        <v>12</v>
      </c>
      <c r="D491" t="s">
        <v>75</v>
      </c>
      <c r="E491" t="s">
        <v>75</v>
      </c>
      <c r="F491" t="s">
        <v>94</v>
      </c>
      <c r="G491" t="s">
        <v>94</v>
      </c>
      <c r="H491" t="s">
        <v>1258</v>
      </c>
      <c r="I491" t="s">
        <v>1616</v>
      </c>
      <c r="J491" s="3" t="s">
        <v>1270</v>
      </c>
      <c r="K491" s="3"/>
      <c r="L491" s="3" t="s">
        <v>144</v>
      </c>
      <c r="M491" s="3">
        <v>46162</v>
      </c>
      <c r="N491" s="4">
        <v>2300000</v>
      </c>
      <c r="O491" s="3" t="s">
        <v>1278</v>
      </c>
      <c r="P491" s="3">
        <v>229200</v>
      </c>
      <c r="Q491" s="4">
        <v>229200</v>
      </c>
      <c r="R491" s="3" t="s">
        <v>1279</v>
      </c>
      <c r="S491" s="3" t="s">
        <v>19</v>
      </c>
      <c r="T491" s="3" t="s">
        <v>19</v>
      </c>
      <c r="U491" s="3"/>
    </row>
    <row r="492" spans="1:21">
      <c r="A492">
        <v>3307</v>
      </c>
      <c r="B492" t="s">
        <v>12</v>
      </c>
      <c r="C492" t="s">
        <v>12</v>
      </c>
      <c r="D492" t="s">
        <v>75</v>
      </c>
      <c r="E492" t="s">
        <v>75</v>
      </c>
      <c r="F492" t="s">
        <v>94</v>
      </c>
      <c r="G492" t="s">
        <v>94</v>
      </c>
      <c r="H492" t="s">
        <v>1258</v>
      </c>
      <c r="I492" t="s">
        <v>1617</v>
      </c>
      <c r="J492" s="3" t="s">
        <v>1618</v>
      </c>
      <c r="K492" s="3"/>
      <c r="L492" s="3" t="s">
        <v>1619</v>
      </c>
      <c r="M492" s="3">
        <v>46176</v>
      </c>
      <c r="N492" s="4">
        <v>3770000</v>
      </c>
      <c r="O492" s="3" t="s">
        <v>1620</v>
      </c>
      <c r="P492" s="3" t="s">
        <v>1621</v>
      </c>
      <c r="Q492" s="4">
        <v>377000</v>
      </c>
      <c r="R492" s="3" t="s">
        <v>577</v>
      </c>
      <c r="S492" s="3" t="s">
        <v>19</v>
      </c>
      <c r="T492" s="3" t="s">
        <v>19</v>
      </c>
      <c r="U492" s="3"/>
    </row>
    <row r="493" spans="1:21">
      <c r="A493">
        <v>3237</v>
      </c>
      <c r="B493" t="s">
        <v>12</v>
      </c>
      <c r="C493" t="s">
        <v>12</v>
      </c>
      <c r="D493" t="s">
        <v>75</v>
      </c>
      <c r="E493" t="s">
        <v>75</v>
      </c>
      <c r="F493" t="s">
        <v>75</v>
      </c>
      <c r="G493" t="s">
        <v>75</v>
      </c>
      <c r="H493" t="s">
        <v>342</v>
      </c>
      <c r="I493" t="s">
        <v>1622</v>
      </c>
      <c r="J493" s="3" t="s">
        <v>1623</v>
      </c>
      <c r="K493" s="3"/>
      <c r="L493" s="3" t="s">
        <v>207</v>
      </c>
      <c r="M493" s="3">
        <v>46135</v>
      </c>
      <c r="N493" s="4">
        <v>4831560</v>
      </c>
      <c r="O493" s="3" t="s">
        <v>1624</v>
      </c>
      <c r="P493" s="3">
        <v>402468.94799999997</v>
      </c>
      <c r="Q493" s="4">
        <v>402468.94799999997</v>
      </c>
      <c r="R493" s="3" t="s">
        <v>1288</v>
      </c>
      <c r="S493" s="3" t="s">
        <v>4</v>
      </c>
      <c r="T493" s="3" t="s">
        <v>4</v>
      </c>
      <c r="U493" s="3"/>
    </row>
    <row r="494" spans="1:21">
      <c r="A494">
        <v>3357</v>
      </c>
      <c r="B494" t="s">
        <v>12</v>
      </c>
      <c r="C494" t="s">
        <v>12</v>
      </c>
      <c r="D494" t="s">
        <v>75</v>
      </c>
      <c r="E494" t="s">
        <v>75</v>
      </c>
      <c r="F494" t="s">
        <v>95</v>
      </c>
      <c r="G494" t="s">
        <v>95</v>
      </c>
      <c r="H494" t="s">
        <v>1258</v>
      </c>
      <c r="I494" t="s">
        <v>1625</v>
      </c>
      <c r="J494" s="3" t="s">
        <v>1626</v>
      </c>
      <c r="K494" s="3"/>
      <c r="L494" s="3" t="s">
        <v>8</v>
      </c>
      <c r="M494" s="3">
        <v>46190</v>
      </c>
      <c r="N494" s="4">
        <v>1860000</v>
      </c>
      <c r="O494" s="3" t="s">
        <v>1400</v>
      </c>
      <c r="P494" s="3" t="s">
        <v>1627</v>
      </c>
      <c r="Q494" s="4">
        <v>186000</v>
      </c>
      <c r="R494" s="3" t="s">
        <v>577</v>
      </c>
      <c r="S494" s="3" t="s">
        <v>19</v>
      </c>
      <c r="T494" s="3" t="s">
        <v>19</v>
      </c>
      <c r="U494" s="3"/>
    </row>
    <row r="495" spans="1:21">
      <c r="A495">
        <v>3451</v>
      </c>
      <c r="B495" t="s">
        <v>12</v>
      </c>
      <c r="C495" t="s">
        <v>12</v>
      </c>
      <c r="D495" t="s">
        <v>75</v>
      </c>
      <c r="E495" t="s">
        <v>75</v>
      </c>
      <c r="F495" t="s">
        <v>95</v>
      </c>
      <c r="G495" t="s">
        <v>95</v>
      </c>
      <c r="H495" t="s">
        <v>1258</v>
      </c>
      <c r="I495" t="s">
        <v>1628</v>
      </c>
      <c r="J495" s="3" t="s">
        <v>1626</v>
      </c>
      <c r="K495" s="3"/>
      <c r="L495" s="3" t="s">
        <v>8</v>
      </c>
      <c r="M495" s="3">
        <v>46239</v>
      </c>
      <c r="N495" s="4">
        <v>2244250</v>
      </c>
      <c r="O495" s="3" t="s">
        <v>1267</v>
      </c>
      <c r="P495" s="3">
        <v>186946</v>
      </c>
      <c r="Q495" s="4">
        <v>186946</v>
      </c>
      <c r="R495" s="3" t="s">
        <v>1268</v>
      </c>
      <c r="S495" s="3" t="s">
        <v>19</v>
      </c>
      <c r="T495" s="3" t="s">
        <v>19</v>
      </c>
      <c r="U495" s="3"/>
    </row>
    <row r="496" spans="1:21">
      <c r="A496">
        <v>3172</v>
      </c>
      <c r="B496" t="s">
        <v>12</v>
      </c>
      <c r="C496" t="s">
        <v>12</v>
      </c>
      <c r="D496" t="s">
        <v>75</v>
      </c>
      <c r="E496" t="s">
        <v>75</v>
      </c>
      <c r="F496" t="s">
        <v>95</v>
      </c>
      <c r="G496" t="s">
        <v>95</v>
      </c>
      <c r="H496" t="s">
        <v>1258</v>
      </c>
      <c r="I496" t="s">
        <v>1629</v>
      </c>
      <c r="J496" s="3" t="s">
        <v>1270</v>
      </c>
      <c r="K496" s="3"/>
      <c r="L496" s="3" t="s">
        <v>1196</v>
      </c>
      <c r="M496" s="3">
        <v>46113</v>
      </c>
      <c r="N496" s="4">
        <v>1480250</v>
      </c>
      <c r="O496" s="3" t="s">
        <v>1272</v>
      </c>
      <c r="P496" s="3">
        <v>148025</v>
      </c>
      <c r="Q496" s="4">
        <v>148025</v>
      </c>
      <c r="R496" s="3" t="s">
        <v>1273</v>
      </c>
      <c r="S496" s="3" t="s">
        <v>4</v>
      </c>
      <c r="T496" s="3" t="s">
        <v>4</v>
      </c>
      <c r="U496" s="3"/>
    </row>
    <row r="497" spans="1:21">
      <c r="A497">
        <v>3360</v>
      </c>
      <c r="B497" t="s">
        <v>12</v>
      </c>
      <c r="C497" t="s">
        <v>12</v>
      </c>
      <c r="D497" t="s">
        <v>75</v>
      </c>
      <c r="E497" t="s">
        <v>75</v>
      </c>
      <c r="F497" t="s">
        <v>95</v>
      </c>
      <c r="G497" t="s">
        <v>95</v>
      </c>
      <c r="H497" t="s">
        <v>1258</v>
      </c>
      <c r="I497" t="s">
        <v>1630</v>
      </c>
      <c r="J497" s="3" t="s">
        <v>1631</v>
      </c>
      <c r="K497" s="3"/>
      <c r="L497" s="3" t="s">
        <v>127</v>
      </c>
      <c r="M497" s="3">
        <v>46190</v>
      </c>
      <c r="N497" s="4">
        <v>1650000</v>
      </c>
      <c r="O497" s="3"/>
      <c r="P497" s="3">
        <v>0</v>
      </c>
      <c r="Q497" s="4">
        <v>0</v>
      </c>
      <c r="R497" s="3"/>
      <c r="S497" s="3" t="s">
        <v>21</v>
      </c>
      <c r="T497" s="3" t="s">
        <v>21</v>
      </c>
      <c r="U497" s="3"/>
    </row>
    <row r="498" spans="1:21">
      <c r="A498">
        <v>3398</v>
      </c>
      <c r="B498" t="s">
        <v>12</v>
      </c>
      <c r="C498" t="s">
        <v>12</v>
      </c>
      <c r="D498" t="s">
        <v>75</v>
      </c>
      <c r="E498" t="s">
        <v>75</v>
      </c>
      <c r="F498" t="s">
        <v>96</v>
      </c>
      <c r="G498" t="s">
        <v>96</v>
      </c>
      <c r="H498" t="s">
        <v>1327</v>
      </c>
      <c r="I498" t="s">
        <v>1632</v>
      </c>
      <c r="J498" s="3" t="s">
        <v>1362</v>
      </c>
      <c r="K498" s="3"/>
      <c r="L498" s="3" t="s">
        <v>597</v>
      </c>
      <c r="M498" s="3">
        <v>46211</v>
      </c>
      <c r="N498" s="4" t="s">
        <v>1633</v>
      </c>
      <c r="O498" s="3" t="s">
        <v>1342</v>
      </c>
      <c r="P498" s="3" t="s">
        <v>1634</v>
      </c>
      <c r="Q498" s="4">
        <v>109252.03</v>
      </c>
      <c r="R498" s="3" t="s">
        <v>341</v>
      </c>
      <c r="S498" s="3" t="s">
        <v>4</v>
      </c>
      <c r="T498" s="3" t="s">
        <v>4</v>
      </c>
      <c r="U498" s="3"/>
    </row>
    <row r="499" spans="1:21">
      <c r="A499">
        <v>3150</v>
      </c>
      <c r="B499" t="s">
        <v>12</v>
      </c>
      <c r="C499" t="s">
        <v>12</v>
      </c>
      <c r="D499" t="s">
        <v>75</v>
      </c>
      <c r="E499" t="s">
        <v>75</v>
      </c>
      <c r="F499" t="s">
        <v>97</v>
      </c>
      <c r="G499" t="s">
        <v>97</v>
      </c>
      <c r="H499" t="s">
        <v>1261</v>
      </c>
      <c r="I499" t="s">
        <v>1635</v>
      </c>
      <c r="J499" s="3" t="s">
        <v>1636</v>
      </c>
      <c r="K499" s="3"/>
      <c r="L499" s="3" t="s">
        <v>1264</v>
      </c>
      <c r="M499" s="3">
        <v>46104</v>
      </c>
      <c r="N499" s="4">
        <v>1000000</v>
      </c>
      <c r="O499" s="3" t="s">
        <v>1509</v>
      </c>
      <c r="P499" s="3">
        <v>76636</v>
      </c>
      <c r="Q499" s="4">
        <v>76636</v>
      </c>
      <c r="R499" s="3" t="s">
        <v>1304</v>
      </c>
      <c r="S499" s="3" t="s">
        <v>4</v>
      </c>
      <c r="T499" s="3" t="s">
        <v>4</v>
      </c>
      <c r="U499" s="3"/>
    </row>
    <row r="500" spans="1:21">
      <c r="A500">
        <v>3095</v>
      </c>
      <c r="B500" t="s">
        <v>12</v>
      </c>
      <c r="C500" t="s">
        <v>12</v>
      </c>
      <c r="D500" t="s">
        <v>75</v>
      </c>
      <c r="E500" t="s">
        <v>75</v>
      </c>
      <c r="F500" t="s">
        <v>97</v>
      </c>
      <c r="G500" t="s">
        <v>97</v>
      </c>
      <c r="H500" t="s">
        <v>1261</v>
      </c>
      <c r="I500" t="s">
        <v>1637</v>
      </c>
      <c r="J500" s="3" t="s">
        <v>1470</v>
      </c>
      <c r="K500" s="3"/>
      <c r="L500" s="3" t="s">
        <v>597</v>
      </c>
      <c r="M500" s="3" t="s">
        <v>1638</v>
      </c>
      <c r="N500" s="4">
        <v>600000</v>
      </c>
      <c r="O500" s="3" t="s">
        <v>1522</v>
      </c>
      <c r="P500" s="3">
        <v>49980</v>
      </c>
      <c r="Q500" s="4">
        <v>49980</v>
      </c>
      <c r="R500" s="3" t="s">
        <v>891</v>
      </c>
      <c r="S500" s="3" t="s">
        <v>4</v>
      </c>
      <c r="T500" s="3" t="s">
        <v>4</v>
      </c>
      <c r="U500" s="3"/>
    </row>
    <row r="501" spans="1:21">
      <c r="A501">
        <v>3241</v>
      </c>
      <c r="B501" t="s">
        <v>12</v>
      </c>
      <c r="C501" t="s">
        <v>12</v>
      </c>
      <c r="D501" t="s">
        <v>75</v>
      </c>
      <c r="E501" t="s">
        <v>75</v>
      </c>
      <c r="F501" t="s">
        <v>97</v>
      </c>
      <c r="G501" t="s">
        <v>97</v>
      </c>
      <c r="H501" t="s">
        <v>1261</v>
      </c>
      <c r="I501" t="s">
        <v>1639</v>
      </c>
      <c r="J501" s="3" t="s">
        <v>1640</v>
      </c>
      <c r="K501" s="3"/>
      <c r="L501" s="3" t="s">
        <v>597</v>
      </c>
      <c r="M501" s="3">
        <v>46139</v>
      </c>
      <c r="N501" s="4" t="s">
        <v>1142</v>
      </c>
      <c r="O501" s="3" t="s">
        <v>1536</v>
      </c>
      <c r="P501" s="3">
        <v>54145</v>
      </c>
      <c r="Q501" s="4">
        <v>54145</v>
      </c>
      <c r="R501" s="3" t="s">
        <v>1537</v>
      </c>
      <c r="S501" s="3" t="s">
        <v>19</v>
      </c>
      <c r="T501" s="3" t="s">
        <v>19</v>
      </c>
      <c r="U501" s="3"/>
    </row>
    <row r="502" spans="1:21">
      <c r="A502">
        <v>3197</v>
      </c>
      <c r="B502" t="s">
        <v>12</v>
      </c>
      <c r="C502" t="s">
        <v>12</v>
      </c>
      <c r="D502" t="s">
        <v>75</v>
      </c>
      <c r="E502" t="s">
        <v>75</v>
      </c>
      <c r="F502" t="s">
        <v>97</v>
      </c>
      <c r="G502" t="s">
        <v>97</v>
      </c>
      <c r="H502" t="s">
        <v>1261</v>
      </c>
      <c r="I502" t="s">
        <v>1641</v>
      </c>
      <c r="J502" s="3" t="s">
        <v>1514</v>
      </c>
      <c r="K502" s="3"/>
      <c r="L502" s="3" t="s">
        <v>597</v>
      </c>
      <c r="M502" s="3">
        <v>46125</v>
      </c>
      <c r="N502" s="4">
        <v>770000</v>
      </c>
      <c r="O502" s="3" t="s">
        <v>1300</v>
      </c>
      <c r="P502" s="3">
        <v>64141</v>
      </c>
      <c r="Q502" s="4">
        <v>64141</v>
      </c>
      <c r="R502" s="3" t="s">
        <v>307</v>
      </c>
      <c r="S502" s="3" t="s">
        <v>4</v>
      </c>
      <c r="T502" s="3" t="s">
        <v>4</v>
      </c>
      <c r="U502" s="3"/>
    </row>
    <row r="503" spans="1:21">
      <c r="A503">
        <v>3239</v>
      </c>
      <c r="B503" t="s">
        <v>12</v>
      </c>
      <c r="C503" t="s">
        <v>12</v>
      </c>
      <c r="D503" t="s">
        <v>75</v>
      </c>
      <c r="E503" t="s">
        <v>75</v>
      </c>
      <c r="F503" t="s">
        <v>97</v>
      </c>
      <c r="G503" t="s">
        <v>97</v>
      </c>
      <c r="H503" t="s">
        <v>1261</v>
      </c>
      <c r="I503" t="s">
        <v>1642</v>
      </c>
      <c r="J503" s="3" t="s">
        <v>1306</v>
      </c>
      <c r="K503" s="3"/>
      <c r="L503" s="3" t="s">
        <v>597</v>
      </c>
      <c r="M503" s="3">
        <v>46139</v>
      </c>
      <c r="N503" s="4">
        <v>600000</v>
      </c>
      <c r="O503" s="3" t="s">
        <v>1303</v>
      </c>
      <c r="P503" s="3">
        <v>47481</v>
      </c>
      <c r="Q503" s="4">
        <v>47481</v>
      </c>
      <c r="R503" s="3" t="s">
        <v>1304</v>
      </c>
      <c r="S503" s="3" t="s">
        <v>4</v>
      </c>
      <c r="T503" s="3" t="s">
        <v>4</v>
      </c>
      <c r="U503" s="3"/>
    </row>
    <row r="504" spans="1:21">
      <c r="A504">
        <v>3240</v>
      </c>
      <c r="B504" t="s">
        <v>12</v>
      </c>
      <c r="C504" t="s">
        <v>12</v>
      </c>
      <c r="D504" t="s">
        <v>75</v>
      </c>
      <c r="E504" t="s">
        <v>75</v>
      </c>
      <c r="F504" t="s">
        <v>97</v>
      </c>
      <c r="G504" t="s">
        <v>97</v>
      </c>
      <c r="H504" t="s">
        <v>1261</v>
      </c>
      <c r="I504" t="s">
        <v>1643</v>
      </c>
      <c r="J504" s="3" t="s">
        <v>1644</v>
      </c>
      <c r="K504" s="3"/>
      <c r="L504" s="3" t="s">
        <v>1264</v>
      </c>
      <c r="M504" s="3">
        <v>46139</v>
      </c>
      <c r="N504" s="4">
        <v>800000</v>
      </c>
      <c r="O504" s="3" t="s">
        <v>1509</v>
      </c>
      <c r="P504" s="3">
        <v>66640</v>
      </c>
      <c r="Q504" s="4">
        <v>66640</v>
      </c>
      <c r="R504" s="3" t="s">
        <v>1304</v>
      </c>
      <c r="S504" s="3" t="s">
        <v>4</v>
      </c>
      <c r="T504" s="3" t="s">
        <v>4</v>
      </c>
      <c r="U504" s="3"/>
    </row>
    <row r="505" spans="1:21">
      <c r="A505">
        <v>3401</v>
      </c>
      <c r="B505" t="s">
        <v>12</v>
      </c>
      <c r="C505" t="s">
        <v>12</v>
      </c>
      <c r="D505" t="s">
        <v>75</v>
      </c>
      <c r="E505" t="s">
        <v>75</v>
      </c>
      <c r="F505" t="s">
        <v>97</v>
      </c>
      <c r="G505" t="s">
        <v>97</v>
      </c>
      <c r="H505" t="s">
        <v>1261</v>
      </c>
      <c r="I505" t="s">
        <v>1645</v>
      </c>
      <c r="J505" s="3" t="s">
        <v>1646</v>
      </c>
      <c r="K505" s="3"/>
      <c r="L505" s="3" t="s">
        <v>597</v>
      </c>
      <c r="M505" s="3">
        <v>46216</v>
      </c>
      <c r="N505" s="4" t="s">
        <v>473</v>
      </c>
      <c r="O505" s="3" t="s">
        <v>1536</v>
      </c>
      <c r="P505" s="3">
        <v>49980</v>
      </c>
      <c r="Q505" s="4">
        <v>49980</v>
      </c>
      <c r="R505" s="3" t="s">
        <v>1537</v>
      </c>
      <c r="S505" s="3" t="s">
        <v>19</v>
      </c>
      <c r="T505" s="3" t="s">
        <v>19</v>
      </c>
      <c r="U505" s="3"/>
    </row>
    <row r="506" spans="1:21">
      <c r="A506">
        <v>3469</v>
      </c>
      <c r="B506" t="s">
        <v>12</v>
      </c>
      <c r="C506" t="s">
        <v>12</v>
      </c>
      <c r="D506" t="s">
        <v>75</v>
      </c>
      <c r="E506" t="s">
        <v>75</v>
      </c>
      <c r="F506" t="s">
        <v>97</v>
      </c>
      <c r="G506" t="s">
        <v>97</v>
      </c>
      <c r="H506" t="s">
        <v>1261</v>
      </c>
      <c r="I506" t="s">
        <v>1647</v>
      </c>
      <c r="J506" s="3" t="s">
        <v>1648</v>
      </c>
      <c r="K506" s="3"/>
      <c r="L506" s="3" t="s">
        <v>1264</v>
      </c>
      <c r="M506" s="3">
        <v>46251</v>
      </c>
      <c r="N506" s="4">
        <v>900000</v>
      </c>
      <c r="O506" s="3"/>
      <c r="P506" s="3">
        <v>75000</v>
      </c>
      <c r="Q506" s="4">
        <v>75000</v>
      </c>
      <c r="R506" s="3"/>
      <c r="S506" s="3" t="s">
        <v>20</v>
      </c>
      <c r="T506" s="3" t="s">
        <v>20</v>
      </c>
      <c r="U506" s="3"/>
    </row>
    <row r="507" spans="1:21">
      <c r="A507">
        <v>3256</v>
      </c>
      <c r="B507" t="s">
        <v>12</v>
      </c>
      <c r="C507" t="s">
        <v>12</v>
      </c>
      <c r="D507" t="s">
        <v>75</v>
      </c>
      <c r="E507" t="s">
        <v>75</v>
      </c>
      <c r="F507" t="s">
        <v>97</v>
      </c>
      <c r="G507" t="s">
        <v>97</v>
      </c>
      <c r="H507" t="s">
        <v>1261</v>
      </c>
      <c r="I507" t="s">
        <v>1649</v>
      </c>
      <c r="J507" s="3" t="s">
        <v>1306</v>
      </c>
      <c r="K507" s="3"/>
      <c r="L507" s="3" t="s">
        <v>597</v>
      </c>
      <c r="M507" s="3">
        <v>46146</v>
      </c>
      <c r="N507" s="4">
        <v>550000</v>
      </c>
      <c r="O507" s="3" t="s">
        <v>1303</v>
      </c>
      <c r="P507" s="3">
        <v>56644</v>
      </c>
      <c r="Q507" s="4">
        <v>56644</v>
      </c>
      <c r="R507" s="3" t="s">
        <v>1304</v>
      </c>
      <c r="S507" s="3" t="s">
        <v>4</v>
      </c>
      <c r="T507" s="3" t="s">
        <v>4</v>
      </c>
      <c r="U507" s="3"/>
    </row>
    <row r="508" spans="1:21">
      <c r="A508">
        <v>3257</v>
      </c>
      <c r="B508" t="s">
        <v>12</v>
      </c>
      <c r="C508" t="s">
        <v>12</v>
      </c>
      <c r="D508" t="s">
        <v>75</v>
      </c>
      <c r="E508" t="s">
        <v>75</v>
      </c>
      <c r="F508" t="s">
        <v>97</v>
      </c>
      <c r="G508" t="s">
        <v>97</v>
      </c>
      <c r="H508" t="s">
        <v>1261</v>
      </c>
      <c r="I508" t="s">
        <v>1650</v>
      </c>
      <c r="J508" s="3" t="s">
        <v>1306</v>
      </c>
      <c r="K508" s="3"/>
      <c r="L508" s="3" t="s">
        <v>597</v>
      </c>
      <c r="M508" s="3">
        <v>46146</v>
      </c>
      <c r="N508" s="4">
        <v>650000</v>
      </c>
      <c r="O508" s="3" t="s">
        <v>1303</v>
      </c>
      <c r="P508" s="3">
        <v>52479</v>
      </c>
      <c r="Q508" s="4">
        <v>52479</v>
      </c>
      <c r="R508" s="3" t="s">
        <v>1304</v>
      </c>
      <c r="S508" s="3" t="s">
        <v>4</v>
      </c>
      <c r="T508" s="3" t="s">
        <v>4</v>
      </c>
      <c r="U508" s="3"/>
    </row>
    <row r="509" spans="1:21">
      <c r="A509">
        <v>3412</v>
      </c>
      <c r="B509" t="s">
        <v>12</v>
      </c>
      <c r="C509" t="s">
        <v>12</v>
      </c>
      <c r="D509" t="s">
        <v>75</v>
      </c>
      <c r="E509" t="s">
        <v>75</v>
      </c>
      <c r="F509" t="s">
        <v>97</v>
      </c>
      <c r="G509" t="s">
        <v>97</v>
      </c>
      <c r="H509" t="s">
        <v>1261</v>
      </c>
      <c r="I509" t="s">
        <v>441</v>
      </c>
      <c r="J509" s="3" t="s">
        <v>1648</v>
      </c>
      <c r="K509" s="3"/>
      <c r="L509" s="3" t="s">
        <v>597</v>
      </c>
      <c r="M509" s="3">
        <v>46223</v>
      </c>
      <c r="N509" s="4" t="s">
        <v>1651</v>
      </c>
      <c r="O509" s="3" t="s">
        <v>1314</v>
      </c>
      <c r="P509" s="3">
        <v>45815</v>
      </c>
      <c r="Q509" s="4">
        <v>45815</v>
      </c>
      <c r="R509" s="3" t="s">
        <v>361</v>
      </c>
      <c r="S509" s="3" t="s">
        <v>19</v>
      </c>
      <c r="T509" s="3" t="s">
        <v>19</v>
      </c>
      <c r="U509" s="3"/>
    </row>
    <row r="510" spans="1:21">
      <c r="A510">
        <v>3456</v>
      </c>
      <c r="B510" t="s">
        <v>12</v>
      </c>
      <c r="C510" t="s">
        <v>12</v>
      </c>
      <c r="D510" t="s">
        <v>75</v>
      </c>
      <c r="E510" t="s">
        <v>75</v>
      </c>
      <c r="F510" t="s">
        <v>97</v>
      </c>
      <c r="G510" t="s">
        <v>97</v>
      </c>
      <c r="H510" t="s">
        <v>1261</v>
      </c>
      <c r="I510" t="s">
        <v>1652</v>
      </c>
      <c r="J510" s="3" t="s">
        <v>1648</v>
      </c>
      <c r="K510" s="3"/>
      <c r="L510" s="3" t="s">
        <v>597</v>
      </c>
      <c r="M510" s="3">
        <v>46244</v>
      </c>
      <c r="N510" s="4">
        <v>600000</v>
      </c>
      <c r="O510" s="3"/>
      <c r="P510" s="3">
        <v>50000</v>
      </c>
      <c r="Q510" s="4">
        <v>50000</v>
      </c>
      <c r="R510" s="3"/>
      <c r="S510" s="3" t="s">
        <v>20</v>
      </c>
      <c r="T510" s="3" t="s">
        <v>20</v>
      </c>
      <c r="U510" s="3"/>
    </row>
    <row r="511" spans="1:21">
      <c r="A511">
        <v>3424</v>
      </c>
      <c r="B511" t="s">
        <v>12</v>
      </c>
      <c r="C511" t="s">
        <v>12</v>
      </c>
      <c r="D511" t="s">
        <v>75</v>
      </c>
      <c r="E511" t="s">
        <v>75</v>
      </c>
      <c r="F511" t="s">
        <v>97</v>
      </c>
      <c r="G511" t="s">
        <v>97</v>
      </c>
      <c r="H511" t="s">
        <v>1261</v>
      </c>
      <c r="I511" t="s">
        <v>1653</v>
      </c>
      <c r="J511" s="3" t="s">
        <v>1654</v>
      </c>
      <c r="K511" s="3"/>
      <c r="L511" s="3" t="s">
        <v>597</v>
      </c>
      <c r="M511" s="3">
        <v>46230</v>
      </c>
      <c r="N511" s="4">
        <v>700000</v>
      </c>
      <c r="O511" s="3"/>
      <c r="P511" s="3">
        <v>66000</v>
      </c>
      <c r="Q511" s="4">
        <v>66000</v>
      </c>
      <c r="R511" s="3"/>
      <c r="S511" s="3" t="s">
        <v>20</v>
      </c>
      <c r="T511" s="3" t="s">
        <v>20</v>
      </c>
      <c r="U511" s="3"/>
    </row>
    <row r="512" spans="1:21">
      <c r="A512">
        <v>3069</v>
      </c>
      <c r="B512" t="s">
        <v>12</v>
      </c>
      <c r="C512" t="s">
        <v>12</v>
      </c>
      <c r="D512" t="s">
        <v>75</v>
      </c>
      <c r="E512" t="s">
        <v>75</v>
      </c>
      <c r="F512" t="s">
        <v>97</v>
      </c>
      <c r="G512" t="s">
        <v>97</v>
      </c>
      <c r="H512" t="s">
        <v>1261</v>
      </c>
      <c r="I512" t="s">
        <v>1655</v>
      </c>
      <c r="J512" s="3" t="s">
        <v>1308</v>
      </c>
      <c r="K512" s="3"/>
      <c r="L512" s="3" t="s">
        <v>597</v>
      </c>
      <c r="M512" s="3">
        <v>46069</v>
      </c>
      <c r="N512" s="4">
        <v>620000</v>
      </c>
      <c r="O512" s="3" t="s">
        <v>1378</v>
      </c>
      <c r="P512" s="3">
        <v>51646</v>
      </c>
      <c r="Q512" s="4">
        <v>51646</v>
      </c>
      <c r="R512" s="3" t="s">
        <v>1379</v>
      </c>
      <c r="S512" s="3" t="s">
        <v>4</v>
      </c>
      <c r="T512" s="3" t="s">
        <v>4</v>
      </c>
      <c r="U512" s="3"/>
    </row>
    <row r="513" spans="1:21">
      <c r="A513">
        <v>3151</v>
      </c>
      <c r="B513" t="s">
        <v>12</v>
      </c>
      <c r="C513" t="s">
        <v>12</v>
      </c>
      <c r="D513" t="s">
        <v>75</v>
      </c>
      <c r="E513" t="s">
        <v>75</v>
      </c>
      <c r="F513" t="s">
        <v>97</v>
      </c>
      <c r="G513" t="s">
        <v>97</v>
      </c>
      <c r="H513" t="s">
        <v>1261</v>
      </c>
      <c r="I513" t="s">
        <v>1656</v>
      </c>
      <c r="J513" s="3" t="s">
        <v>1657</v>
      </c>
      <c r="K513" s="3"/>
      <c r="L513" s="3" t="s">
        <v>597</v>
      </c>
      <c r="M513" s="3">
        <v>46104</v>
      </c>
      <c r="N513" s="4">
        <v>1275574</v>
      </c>
      <c r="O513" s="3" t="s">
        <v>1364</v>
      </c>
      <c r="P513" s="3">
        <v>106255.31</v>
      </c>
      <c r="Q513" s="4">
        <v>106255.31</v>
      </c>
      <c r="R513" s="3" t="s">
        <v>1365</v>
      </c>
      <c r="S513" s="3" t="s">
        <v>4</v>
      </c>
      <c r="T513" s="3" t="s">
        <v>4</v>
      </c>
      <c r="U513" s="3"/>
    </row>
    <row r="514" spans="1:21">
      <c r="A514">
        <v>3411</v>
      </c>
      <c r="B514" t="s">
        <v>12</v>
      </c>
      <c r="C514" t="s">
        <v>12</v>
      </c>
      <c r="D514" t="s">
        <v>75</v>
      </c>
      <c r="E514" t="s">
        <v>75</v>
      </c>
      <c r="F514" t="s">
        <v>97</v>
      </c>
      <c r="G514" t="s">
        <v>97</v>
      </c>
      <c r="H514" t="s">
        <v>1261</v>
      </c>
      <c r="I514" t="s">
        <v>1658</v>
      </c>
      <c r="J514" s="3" t="s">
        <v>1659</v>
      </c>
      <c r="K514" s="3"/>
      <c r="L514" s="3" t="s">
        <v>597</v>
      </c>
      <c r="M514" s="3">
        <v>46223</v>
      </c>
      <c r="N514" s="4">
        <v>820000</v>
      </c>
      <c r="O514" s="3" t="s">
        <v>1503</v>
      </c>
      <c r="P514" s="3">
        <v>68306</v>
      </c>
      <c r="Q514" s="4">
        <v>68306</v>
      </c>
      <c r="R514" s="3" t="s">
        <v>263</v>
      </c>
      <c r="S514" s="3" t="s">
        <v>19</v>
      </c>
      <c r="T514" s="3" t="s">
        <v>19</v>
      </c>
      <c r="U514" s="3"/>
    </row>
    <row r="515" spans="1:21">
      <c r="A515">
        <v>3522</v>
      </c>
      <c r="B515" t="s">
        <v>12</v>
      </c>
      <c r="C515" t="s">
        <v>12</v>
      </c>
      <c r="D515" t="s">
        <v>75</v>
      </c>
      <c r="E515" t="s">
        <v>75</v>
      </c>
      <c r="F515" t="s">
        <v>97</v>
      </c>
      <c r="G515" t="s">
        <v>97</v>
      </c>
      <c r="H515" t="s">
        <v>1327</v>
      </c>
      <c r="I515" t="s">
        <v>1660</v>
      </c>
      <c r="J515" s="3" t="s">
        <v>1452</v>
      </c>
      <c r="K515" s="3"/>
      <c r="L515" s="3" t="s">
        <v>207</v>
      </c>
      <c r="M515" s="3">
        <v>46272</v>
      </c>
      <c r="N515" s="4">
        <v>1200000</v>
      </c>
      <c r="O515" s="3"/>
      <c r="P515" s="3">
        <v>100000</v>
      </c>
      <c r="Q515" s="4">
        <v>100000</v>
      </c>
      <c r="R515" s="3"/>
      <c r="S515" s="3" t="s">
        <v>20</v>
      </c>
      <c r="T515" s="3" t="s">
        <v>20</v>
      </c>
      <c r="U515" s="3"/>
    </row>
    <row r="516" spans="1:21">
      <c r="A516">
        <v>3362</v>
      </c>
      <c r="B516" t="s">
        <v>12</v>
      </c>
      <c r="C516" t="s">
        <v>12</v>
      </c>
      <c r="D516" t="s">
        <v>75</v>
      </c>
      <c r="E516" t="s">
        <v>75</v>
      </c>
      <c r="F516" t="s">
        <v>98</v>
      </c>
      <c r="G516" t="s">
        <v>98</v>
      </c>
      <c r="H516" t="s">
        <v>1261</v>
      </c>
      <c r="I516" t="s">
        <v>1661</v>
      </c>
      <c r="J516" s="3" t="s">
        <v>1662</v>
      </c>
      <c r="K516" s="3"/>
      <c r="L516" s="3" t="s">
        <v>597</v>
      </c>
      <c r="M516" s="3">
        <v>46188</v>
      </c>
      <c r="N516" s="4" t="s">
        <v>1663</v>
      </c>
      <c r="O516" s="3" t="s">
        <v>1536</v>
      </c>
      <c r="P516" s="3">
        <v>44982</v>
      </c>
      <c r="Q516" s="4">
        <v>44982</v>
      </c>
      <c r="R516" s="3" t="s">
        <v>1537</v>
      </c>
      <c r="S516" s="3" t="s">
        <v>19</v>
      </c>
      <c r="T516" s="3" t="s">
        <v>19</v>
      </c>
      <c r="U516" s="3"/>
    </row>
    <row r="517" spans="1:21">
      <c r="A517">
        <v>3542</v>
      </c>
      <c r="B517" t="s">
        <v>12</v>
      </c>
      <c r="C517" t="s">
        <v>12</v>
      </c>
      <c r="D517" t="s">
        <v>75</v>
      </c>
      <c r="E517" t="s">
        <v>75</v>
      </c>
      <c r="F517" t="s">
        <v>98</v>
      </c>
      <c r="G517" t="s">
        <v>98</v>
      </c>
      <c r="H517" t="s">
        <v>1261</v>
      </c>
      <c r="I517" t="s">
        <v>1664</v>
      </c>
      <c r="J517" s="3" t="s">
        <v>1665</v>
      </c>
      <c r="K517" s="3"/>
      <c r="L517" s="3" t="s">
        <v>597</v>
      </c>
      <c r="M517" s="3">
        <v>46279</v>
      </c>
      <c r="N517" s="4">
        <v>900000</v>
      </c>
      <c r="O517" s="3"/>
      <c r="P517" s="3">
        <v>75000</v>
      </c>
      <c r="Q517" s="4">
        <v>75000</v>
      </c>
      <c r="R517" s="3"/>
      <c r="S517" s="3" t="s">
        <v>20</v>
      </c>
      <c r="T517" s="3" t="s">
        <v>20</v>
      </c>
      <c r="U517" s="3"/>
    </row>
    <row r="518" spans="1:21">
      <c r="A518">
        <v>3543</v>
      </c>
      <c r="B518" t="s">
        <v>12</v>
      </c>
      <c r="C518" t="s">
        <v>12</v>
      </c>
      <c r="D518" t="s">
        <v>75</v>
      </c>
      <c r="E518" t="s">
        <v>75</v>
      </c>
      <c r="F518" t="s">
        <v>98</v>
      </c>
      <c r="G518" t="s">
        <v>98</v>
      </c>
      <c r="H518" t="s">
        <v>1261</v>
      </c>
      <c r="I518" t="s">
        <v>1666</v>
      </c>
      <c r="J518" s="3" t="s">
        <v>1384</v>
      </c>
      <c r="K518" s="3"/>
      <c r="L518" s="3" t="s">
        <v>597</v>
      </c>
      <c r="M518" s="3">
        <v>46279</v>
      </c>
      <c r="N518" s="4">
        <v>600000</v>
      </c>
      <c r="O518" s="3"/>
      <c r="P518" s="3">
        <v>50000</v>
      </c>
      <c r="Q518" s="4">
        <v>50000</v>
      </c>
      <c r="R518" s="3"/>
      <c r="S518" s="3" t="s">
        <v>20</v>
      </c>
      <c r="T518" s="3" t="s">
        <v>20</v>
      </c>
      <c r="U518" s="3"/>
    </row>
    <row r="519" spans="1:21">
      <c r="A519">
        <v>3081</v>
      </c>
      <c r="B519" t="s">
        <v>12</v>
      </c>
      <c r="C519" t="s">
        <v>12</v>
      </c>
      <c r="D519" t="s">
        <v>75</v>
      </c>
      <c r="E519" t="s">
        <v>75</v>
      </c>
      <c r="F519" t="s">
        <v>98</v>
      </c>
      <c r="G519" t="s">
        <v>98</v>
      </c>
      <c r="H519" t="s">
        <v>1261</v>
      </c>
      <c r="I519" t="s">
        <v>1667</v>
      </c>
      <c r="J519" s="3" t="s">
        <v>1668</v>
      </c>
      <c r="K519" s="3"/>
      <c r="L519" s="3" t="s">
        <v>1264</v>
      </c>
      <c r="M519" s="3">
        <v>46076</v>
      </c>
      <c r="N519" s="4">
        <v>700000</v>
      </c>
      <c r="O519" s="3" t="s">
        <v>1509</v>
      </c>
      <c r="P519" s="3">
        <v>62475</v>
      </c>
      <c r="Q519" s="4">
        <v>62475</v>
      </c>
      <c r="R519" s="3" t="s">
        <v>1669</v>
      </c>
      <c r="S519" s="3" t="s">
        <v>4</v>
      </c>
      <c r="T519" s="3" t="s">
        <v>4</v>
      </c>
      <c r="U519" s="3"/>
    </row>
    <row r="520" spans="1:21">
      <c r="A520">
        <v>3147</v>
      </c>
      <c r="B520" t="s">
        <v>12</v>
      </c>
      <c r="C520" t="s">
        <v>12</v>
      </c>
      <c r="D520" t="s">
        <v>75</v>
      </c>
      <c r="E520" t="s">
        <v>75</v>
      </c>
      <c r="F520" t="s">
        <v>98</v>
      </c>
      <c r="G520" t="s">
        <v>98</v>
      </c>
      <c r="H520" t="s">
        <v>1261</v>
      </c>
      <c r="I520" t="s">
        <v>1670</v>
      </c>
      <c r="J520" s="3" t="s">
        <v>1671</v>
      </c>
      <c r="K520" s="3"/>
      <c r="L520" s="3" t="s">
        <v>1264</v>
      </c>
      <c r="M520" s="3">
        <v>46097</v>
      </c>
      <c r="N520" s="4">
        <v>800000</v>
      </c>
      <c r="O520" s="3" t="s">
        <v>1509</v>
      </c>
      <c r="P520" s="3">
        <v>62475</v>
      </c>
      <c r="Q520" s="4">
        <v>62475</v>
      </c>
      <c r="R520" s="3" t="s">
        <v>1304</v>
      </c>
      <c r="S520" s="3" t="s">
        <v>4</v>
      </c>
      <c r="T520" s="3" t="s">
        <v>4</v>
      </c>
      <c r="U520" s="3"/>
    </row>
    <row r="521" spans="1:21">
      <c r="A521">
        <v>3526</v>
      </c>
      <c r="B521" t="s">
        <v>12</v>
      </c>
      <c r="C521" t="s">
        <v>12</v>
      </c>
      <c r="D521" t="s">
        <v>75</v>
      </c>
      <c r="E521" t="s">
        <v>75</v>
      </c>
      <c r="F521" t="s">
        <v>99</v>
      </c>
      <c r="G521" t="s">
        <v>99</v>
      </c>
      <c r="H521" t="s">
        <v>397</v>
      </c>
      <c r="I521" t="s">
        <v>1528</v>
      </c>
      <c r="J521" s="3" t="s">
        <v>1672</v>
      </c>
      <c r="K521" s="3"/>
      <c r="L521" s="3" t="s">
        <v>1673</v>
      </c>
      <c r="M521" s="3">
        <v>46272</v>
      </c>
      <c r="N521" s="4">
        <v>750000</v>
      </c>
      <c r="O521" s="3"/>
      <c r="P521" s="3">
        <v>62000</v>
      </c>
      <c r="Q521" s="4">
        <v>62000</v>
      </c>
      <c r="R521" s="3"/>
      <c r="S521" s="3" t="s">
        <v>20</v>
      </c>
      <c r="T521" s="3" t="s">
        <v>20</v>
      </c>
      <c r="U521" s="3"/>
    </row>
    <row r="522" spans="1:21" ht="27.6">
      <c r="A522">
        <v>3044</v>
      </c>
      <c r="B522" t="s">
        <v>13</v>
      </c>
      <c r="C522" t="s">
        <v>13</v>
      </c>
      <c r="D522" t="s">
        <v>100</v>
      </c>
      <c r="E522" t="s">
        <v>100</v>
      </c>
      <c r="F522" t="s">
        <v>100</v>
      </c>
      <c r="G522" t="s">
        <v>100</v>
      </c>
      <c r="H522" t="s">
        <v>1674</v>
      </c>
      <c r="I522" t="s">
        <v>1675</v>
      </c>
      <c r="J522" s="3"/>
      <c r="K522" s="3" t="s">
        <v>1676</v>
      </c>
      <c r="L522" s="3" t="s">
        <v>400</v>
      </c>
      <c r="M522" s="3" t="s">
        <v>1677</v>
      </c>
      <c r="N522" s="4">
        <v>2800800</v>
      </c>
      <c r="O522" s="3" t="s">
        <v>1678</v>
      </c>
      <c r="P522" s="3">
        <v>233306.63999999998</v>
      </c>
      <c r="Q522" s="4">
        <v>233306.63999999998</v>
      </c>
      <c r="R522" s="3" t="s">
        <v>1679</v>
      </c>
      <c r="S522" s="3" t="s">
        <v>4</v>
      </c>
      <c r="T522" s="3" t="s">
        <v>4</v>
      </c>
      <c r="U522" s="3"/>
    </row>
    <row r="523" spans="1:21">
      <c r="A523">
        <v>3336</v>
      </c>
      <c r="B523" t="s">
        <v>13</v>
      </c>
      <c r="C523" t="s">
        <v>13</v>
      </c>
      <c r="D523" t="s">
        <v>100</v>
      </c>
      <c r="E523" t="s">
        <v>100</v>
      </c>
      <c r="F523" t="s">
        <v>100</v>
      </c>
      <c r="G523" t="s">
        <v>100</v>
      </c>
      <c r="H523" t="s">
        <v>1680</v>
      </c>
      <c r="I523" t="s">
        <v>1681</v>
      </c>
      <c r="J523" s="3" t="s">
        <v>1682</v>
      </c>
      <c r="K523" s="3"/>
      <c r="L523" s="3" t="s">
        <v>131</v>
      </c>
      <c r="M523" s="3" t="s">
        <v>1683</v>
      </c>
      <c r="N523" s="4">
        <v>3725000</v>
      </c>
      <c r="O523" s="3" t="s">
        <v>1684</v>
      </c>
      <c r="P523" s="3" t="s">
        <v>1685</v>
      </c>
      <c r="Q523" s="4">
        <v>372500</v>
      </c>
      <c r="R523" s="3" t="s">
        <v>403</v>
      </c>
      <c r="S523" s="3" t="s">
        <v>4</v>
      </c>
      <c r="T523" s="3" t="s">
        <v>4</v>
      </c>
      <c r="U523" s="3"/>
    </row>
    <row r="524" spans="1:21" ht="27.6">
      <c r="A524">
        <v>3460</v>
      </c>
      <c r="B524" t="s">
        <v>13</v>
      </c>
      <c r="C524" t="s">
        <v>13</v>
      </c>
      <c r="D524" t="s">
        <v>100</v>
      </c>
      <c r="E524" t="s">
        <v>100</v>
      </c>
      <c r="F524" t="s">
        <v>100</v>
      </c>
      <c r="G524" t="s">
        <v>100</v>
      </c>
      <c r="H524" t="s">
        <v>1680</v>
      </c>
      <c r="I524" t="s">
        <v>1686</v>
      </c>
      <c r="J524" s="3" t="s">
        <v>1687</v>
      </c>
      <c r="K524" s="3"/>
      <c r="L524" s="3" t="s">
        <v>166</v>
      </c>
      <c r="M524" s="3" t="s">
        <v>1688</v>
      </c>
      <c r="N524" s="4">
        <v>1000000</v>
      </c>
      <c r="O524" s="3" t="s">
        <v>1689</v>
      </c>
      <c r="P524" s="3">
        <v>83000</v>
      </c>
      <c r="Q524" s="4">
        <v>83000</v>
      </c>
      <c r="R524" s="3" t="s">
        <v>1268</v>
      </c>
      <c r="S524" s="3" t="s">
        <v>19</v>
      </c>
      <c r="T524" s="3" t="s">
        <v>19</v>
      </c>
      <c r="U524" s="3"/>
    </row>
    <row r="525" spans="1:21">
      <c r="A525">
        <v>3337</v>
      </c>
      <c r="B525" t="s">
        <v>13</v>
      </c>
      <c r="C525" t="s">
        <v>13</v>
      </c>
      <c r="D525" t="s">
        <v>100</v>
      </c>
      <c r="E525" t="s">
        <v>100</v>
      </c>
      <c r="F525" t="s">
        <v>100</v>
      </c>
      <c r="G525" t="s">
        <v>100</v>
      </c>
      <c r="H525" t="s">
        <v>1690</v>
      </c>
      <c r="I525" t="s">
        <v>1691</v>
      </c>
      <c r="J525" s="3" t="s">
        <v>1692</v>
      </c>
      <c r="K525" s="3"/>
      <c r="L525" s="3" t="s">
        <v>131</v>
      </c>
      <c r="M525" s="3" t="s">
        <v>978</v>
      </c>
      <c r="N525" s="4">
        <v>650000</v>
      </c>
      <c r="O525" s="3" t="s">
        <v>1693</v>
      </c>
      <c r="P525" s="3">
        <v>54145</v>
      </c>
      <c r="Q525" s="4">
        <v>54145</v>
      </c>
      <c r="R525" s="3" t="s">
        <v>403</v>
      </c>
      <c r="S525" s="3" t="s">
        <v>4</v>
      </c>
      <c r="T525" s="3" t="s">
        <v>4</v>
      </c>
      <c r="U525" s="3"/>
    </row>
    <row r="526" spans="1:21">
      <c r="A526">
        <v>3396</v>
      </c>
      <c r="B526" t="s">
        <v>13</v>
      </c>
      <c r="C526" t="s">
        <v>13</v>
      </c>
      <c r="D526" t="s">
        <v>100</v>
      </c>
      <c r="E526" t="s">
        <v>100</v>
      </c>
      <c r="F526" t="s">
        <v>100</v>
      </c>
      <c r="G526" t="s">
        <v>100</v>
      </c>
      <c r="H526" t="s">
        <v>124</v>
      </c>
      <c r="I526" t="s">
        <v>1694</v>
      </c>
      <c r="J526" s="3" t="s">
        <v>1695</v>
      </c>
      <c r="K526" s="3"/>
      <c r="L526" s="3" t="s">
        <v>127</v>
      </c>
      <c r="M526" s="3" t="s">
        <v>1696</v>
      </c>
      <c r="N526" s="4" t="s">
        <v>1697</v>
      </c>
      <c r="O526" s="3" t="s">
        <v>170</v>
      </c>
      <c r="P526" s="3" t="s">
        <v>1698</v>
      </c>
      <c r="Q526" s="4">
        <v>111955.2</v>
      </c>
      <c r="R526" s="3" t="s">
        <v>171</v>
      </c>
      <c r="S526" s="3" t="s">
        <v>19</v>
      </c>
      <c r="T526" s="3" t="s">
        <v>19</v>
      </c>
      <c r="U526" s="3"/>
    </row>
    <row r="527" spans="1:21">
      <c r="A527">
        <v>3355</v>
      </c>
      <c r="B527" t="s">
        <v>13</v>
      </c>
      <c r="C527" t="s">
        <v>13</v>
      </c>
      <c r="D527" t="s">
        <v>100</v>
      </c>
      <c r="E527" t="s">
        <v>100</v>
      </c>
      <c r="F527" t="s">
        <v>100</v>
      </c>
      <c r="G527" t="s">
        <v>100</v>
      </c>
      <c r="H527" t="s">
        <v>1699</v>
      </c>
      <c r="I527" t="s">
        <v>1700</v>
      </c>
      <c r="J527" s="3" t="s">
        <v>1701</v>
      </c>
      <c r="K527" s="3"/>
      <c r="L527" s="3" t="s">
        <v>166</v>
      </c>
      <c r="M527" s="3" t="s">
        <v>1702</v>
      </c>
      <c r="N527" s="4" t="s">
        <v>1703</v>
      </c>
      <c r="O527" s="3" t="s">
        <v>1704</v>
      </c>
      <c r="P527" s="3" t="s">
        <v>1705</v>
      </c>
      <c r="Q527" s="4">
        <v>100445.8</v>
      </c>
      <c r="R527" s="3" t="s">
        <v>290</v>
      </c>
      <c r="S527" s="3" t="s">
        <v>19</v>
      </c>
      <c r="T527" s="3" t="s">
        <v>19</v>
      </c>
      <c r="U527" s="3"/>
    </row>
    <row r="528" spans="1:21">
      <c r="A528">
        <v>3354</v>
      </c>
      <c r="B528" t="s">
        <v>13</v>
      </c>
      <c r="C528" t="s">
        <v>13</v>
      </c>
      <c r="D528" t="s">
        <v>1706</v>
      </c>
      <c r="E528" t="s">
        <v>100</v>
      </c>
      <c r="F528" t="s">
        <v>101</v>
      </c>
      <c r="G528" t="s">
        <v>101</v>
      </c>
      <c r="H528" t="s">
        <v>1707</v>
      </c>
      <c r="I528" t="s">
        <v>1708</v>
      </c>
      <c r="J528" s="3" t="s">
        <v>1709</v>
      </c>
      <c r="K528" s="3"/>
      <c r="L528" s="3" t="s">
        <v>13</v>
      </c>
      <c r="M528" s="3" t="s">
        <v>1710</v>
      </c>
      <c r="N528" s="4">
        <v>550000</v>
      </c>
      <c r="O528" s="3"/>
      <c r="P528" s="3">
        <v>45815</v>
      </c>
      <c r="Q528" s="4">
        <v>45815</v>
      </c>
      <c r="R528" s="3"/>
      <c r="S528" s="3" t="s">
        <v>20</v>
      </c>
      <c r="T528" s="3" t="s">
        <v>20</v>
      </c>
      <c r="U528" s="3" t="s">
        <v>1711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selection activeCell="G22" sqref="G22"/>
    </sheetView>
  </sheetViews>
  <sheetFormatPr defaultRowHeight="13.8"/>
  <cols>
    <col min="1" max="2" width="12" customWidth="1"/>
    <col min="3" max="5" width="28" customWidth="1"/>
    <col min="6" max="7" width="23" customWidth="1"/>
    <col min="8" max="9" width="18" customWidth="1"/>
    <col min="10" max="10" width="46" customWidth="1"/>
    <col min="12" max="12" width="32" customWidth="1"/>
    <col min="13" max="13" width="12" customWidth="1"/>
  </cols>
  <sheetData>
    <row r="1" spans="1:13">
      <c r="A1" s="1" t="s">
        <v>1712</v>
      </c>
      <c r="B1" s="1" t="s">
        <v>102</v>
      </c>
      <c r="C1" s="1" t="s">
        <v>3</v>
      </c>
      <c r="D1" s="1" t="s">
        <v>26</v>
      </c>
      <c r="E1" s="1" t="s">
        <v>27</v>
      </c>
      <c r="F1" s="1" t="s">
        <v>109</v>
      </c>
      <c r="G1" s="1" t="s">
        <v>1713</v>
      </c>
      <c r="H1" s="1" t="s">
        <v>1714</v>
      </c>
      <c r="I1" s="1" t="s">
        <v>1715</v>
      </c>
      <c r="J1" s="1" t="s">
        <v>1716</v>
      </c>
      <c r="L1" s="1" t="s">
        <v>1717</v>
      </c>
      <c r="M1" s="1" t="s">
        <v>1718</v>
      </c>
    </row>
    <row r="2" spans="1:13">
      <c r="A2">
        <v>26</v>
      </c>
      <c r="B2">
        <v>3312</v>
      </c>
      <c r="C2" t="s">
        <v>11</v>
      </c>
      <c r="D2" t="s">
        <v>56</v>
      </c>
      <c r="E2" t="s">
        <v>64</v>
      </c>
      <c r="F2" t="s">
        <v>1097</v>
      </c>
      <c r="G2" t="s">
        <v>1105</v>
      </c>
      <c r="I2" t="s">
        <v>21</v>
      </c>
      <c r="J2" t="s">
        <v>951</v>
      </c>
      <c r="L2" t="s">
        <v>1719</v>
      </c>
      <c r="M2">
        <v>527</v>
      </c>
    </row>
    <row r="3" spans="1:13">
      <c r="A3">
        <v>42</v>
      </c>
      <c r="B3">
        <v>3167</v>
      </c>
      <c r="C3" t="s">
        <v>10</v>
      </c>
      <c r="D3" t="s">
        <v>40</v>
      </c>
      <c r="E3" t="s">
        <v>54</v>
      </c>
      <c r="F3" t="s">
        <v>679</v>
      </c>
      <c r="G3" t="s">
        <v>841</v>
      </c>
      <c r="H3">
        <v>37485</v>
      </c>
      <c r="I3" t="s">
        <v>4</v>
      </c>
      <c r="J3" t="s">
        <v>846</v>
      </c>
      <c r="L3" t="s">
        <v>1720</v>
      </c>
      <c r="M3">
        <v>2</v>
      </c>
    </row>
    <row r="4" spans="1:13">
      <c r="A4">
        <v>128</v>
      </c>
      <c r="B4">
        <v>3026</v>
      </c>
      <c r="C4" t="s">
        <v>10</v>
      </c>
      <c r="D4" t="s">
        <v>40</v>
      </c>
      <c r="E4" t="s">
        <v>54</v>
      </c>
      <c r="F4" t="s">
        <v>474</v>
      </c>
      <c r="G4" t="s">
        <v>862</v>
      </c>
      <c r="H4">
        <v>107623.6</v>
      </c>
      <c r="I4" t="s">
        <v>4</v>
      </c>
      <c r="J4" t="s">
        <v>846</v>
      </c>
      <c r="L4" t="s">
        <v>1721</v>
      </c>
      <c r="M4">
        <v>13</v>
      </c>
    </row>
    <row r="5" spans="1:13">
      <c r="A5">
        <v>173</v>
      </c>
      <c r="B5">
        <v>3395</v>
      </c>
      <c r="C5" t="s">
        <v>10</v>
      </c>
      <c r="D5" t="s">
        <v>40</v>
      </c>
      <c r="E5" t="s">
        <v>54</v>
      </c>
      <c r="F5" t="s">
        <v>275</v>
      </c>
      <c r="G5" t="s">
        <v>856</v>
      </c>
      <c r="H5" t="s">
        <v>859</v>
      </c>
      <c r="I5" t="s">
        <v>19</v>
      </c>
      <c r="J5" t="s">
        <v>846</v>
      </c>
      <c r="L5" t="s">
        <v>1722</v>
      </c>
      <c r="M5">
        <v>8</v>
      </c>
    </row>
    <row r="6" spans="1:13">
      <c r="A6">
        <v>175</v>
      </c>
      <c r="B6">
        <v>3325</v>
      </c>
      <c r="C6" t="s">
        <v>10</v>
      </c>
      <c r="D6" t="s">
        <v>40</v>
      </c>
      <c r="E6" t="s">
        <v>54</v>
      </c>
      <c r="F6" t="s">
        <v>362</v>
      </c>
      <c r="G6" t="s">
        <v>852</v>
      </c>
      <c r="H6" t="s">
        <v>853</v>
      </c>
      <c r="I6" t="s">
        <v>4</v>
      </c>
      <c r="J6" t="s">
        <v>846</v>
      </c>
      <c r="L6" t="s">
        <v>1723</v>
      </c>
      <c r="M6">
        <v>1</v>
      </c>
    </row>
    <row r="7" spans="1:13">
      <c r="A7">
        <v>176</v>
      </c>
      <c r="B7">
        <v>3326</v>
      </c>
      <c r="C7" t="s">
        <v>10</v>
      </c>
      <c r="D7" t="s">
        <v>40</v>
      </c>
      <c r="E7" t="s">
        <v>54</v>
      </c>
      <c r="F7" t="s">
        <v>362</v>
      </c>
      <c r="G7" t="s">
        <v>854</v>
      </c>
      <c r="H7" t="s">
        <v>855</v>
      </c>
      <c r="I7" t="s">
        <v>4</v>
      </c>
      <c r="J7" t="s">
        <v>846</v>
      </c>
      <c r="L7" t="s">
        <v>1724</v>
      </c>
      <c r="M7">
        <v>9</v>
      </c>
    </row>
    <row r="8" spans="1:13">
      <c r="A8">
        <v>178</v>
      </c>
      <c r="B8">
        <v>3329</v>
      </c>
      <c r="C8" t="s">
        <v>10</v>
      </c>
      <c r="D8" t="s">
        <v>40</v>
      </c>
      <c r="E8" t="s">
        <v>54</v>
      </c>
      <c r="F8" t="s">
        <v>572</v>
      </c>
      <c r="G8" t="s">
        <v>860</v>
      </c>
      <c r="H8">
        <v>43316.91</v>
      </c>
      <c r="I8" t="s">
        <v>4</v>
      </c>
      <c r="J8" t="s">
        <v>846</v>
      </c>
      <c r="L8" t="s">
        <v>1725</v>
      </c>
      <c r="M8">
        <v>1</v>
      </c>
    </row>
    <row r="9" spans="1:13">
      <c r="A9">
        <v>204</v>
      </c>
      <c r="B9">
        <v>3274</v>
      </c>
      <c r="C9" t="s">
        <v>10</v>
      </c>
      <c r="D9" t="s">
        <v>40</v>
      </c>
      <c r="E9" t="s">
        <v>53</v>
      </c>
      <c r="F9" t="s">
        <v>362</v>
      </c>
      <c r="G9" t="s">
        <v>823</v>
      </c>
      <c r="H9">
        <v>46094</v>
      </c>
      <c r="I9" t="s">
        <v>826</v>
      </c>
      <c r="J9" t="s">
        <v>827</v>
      </c>
      <c r="L9" t="s">
        <v>1726</v>
      </c>
      <c r="M9">
        <v>4</v>
      </c>
    </row>
    <row r="10" spans="1:13">
      <c r="A10">
        <v>219</v>
      </c>
      <c r="B10">
        <v>3269</v>
      </c>
      <c r="C10" t="s">
        <v>10</v>
      </c>
      <c r="D10" t="s">
        <v>40</v>
      </c>
      <c r="E10" t="s">
        <v>54</v>
      </c>
      <c r="F10" t="s">
        <v>679</v>
      </c>
      <c r="G10" t="s">
        <v>847</v>
      </c>
      <c r="H10">
        <v>36985.199999999997</v>
      </c>
      <c r="I10" t="s">
        <v>4</v>
      </c>
      <c r="J10" t="s">
        <v>846</v>
      </c>
    </row>
    <row r="11" spans="1:13">
      <c r="A11">
        <v>241</v>
      </c>
      <c r="B11">
        <v>3108</v>
      </c>
      <c r="C11" t="s">
        <v>10</v>
      </c>
      <c r="D11" t="s">
        <v>40</v>
      </c>
      <c r="E11" t="s">
        <v>54</v>
      </c>
      <c r="F11" t="s">
        <v>679</v>
      </c>
      <c r="G11" t="s">
        <v>850</v>
      </c>
      <c r="H11">
        <v>50979.6</v>
      </c>
      <c r="I11" t="s">
        <v>4</v>
      </c>
      <c r="J11" t="s">
        <v>846</v>
      </c>
    </row>
    <row r="12" spans="1:13">
      <c r="A12">
        <v>329</v>
      </c>
      <c r="B12">
        <v>3439</v>
      </c>
      <c r="C12" t="s">
        <v>11</v>
      </c>
      <c r="D12" t="s">
        <v>56</v>
      </c>
      <c r="E12" t="s">
        <v>54</v>
      </c>
      <c r="F12" t="s">
        <v>1034</v>
      </c>
      <c r="G12" t="s">
        <v>1246</v>
      </c>
      <c r="H12">
        <v>45500.28</v>
      </c>
      <c r="I12" t="s">
        <v>4</v>
      </c>
      <c r="J12" t="s">
        <v>846</v>
      </c>
    </row>
    <row r="13" spans="1:13">
      <c r="A13">
        <v>514</v>
      </c>
      <c r="B13">
        <v>3028</v>
      </c>
      <c r="C13" t="s">
        <v>12</v>
      </c>
      <c r="D13" t="s">
        <v>75</v>
      </c>
      <c r="E13" t="s">
        <v>80</v>
      </c>
      <c r="F13" t="s">
        <v>1327</v>
      </c>
      <c r="G13" t="s">
        <v>1328</v>
      </c>
      <c r="I13" t="s">
        <v>21</v>
      </c>
      <c r="J13" t="s">
        <v>951</v>
      </c>
    </row>
    <row r="14" spans="1:13">
      <c r="A14">
        <v>525</v>
      </c>
      <c r="B14">
        <v>3014</v>
      </c>
      <c r="C14" t="s">
        <v>11</v>
      </c>
      <c r="D14" t="s">
        <v>56</v>
      </c>
      <c r="E14" t="s">
        <v>61</v>
      </c>
      <c r="F14" t="s">
        <v>921</v>
      </c>
      <c r="G14" t="s">
        <v>1000</v>
      </c>
      <c r="I14" t="s">
        <v>4</v>
      </c>
      <c r="J14" t="s">
        <v>951</v>
      </c>
    </row>
    <row r="15" spans="1:13">
      <c r="A15">
        <v>528</v>
      </c>
      <c r="B15">
        <v>3013</v>
      </c>
      <c r="C15" t="s">
        <v>11</v>
      </c>
      <c r="D15" t="s">
        <v>56</v>
      </c>
      <c r="E15" t="s">
        <v>56</v>
      </c>
      <c r="F15" t="s">
        <v>921</v>
      </c>
      <c r="G15" t="s">
        <v>948</v>
      </c>
      <c r="I15" t="s">
        <v>4</v>
      </c>
      <c r="J15" t="s">
        <v>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Branch Summary</vt:lpstr>
      <vt:lpstr>Recruiter Revenue</vt:lpstr>
      <vt:lpstr>Sorted Data</vt:lpstr>
      <vt:lpstr>Data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2026-09-20T09:29:21Z</dcterms:modified>
</cp:coreProperties>
</file>